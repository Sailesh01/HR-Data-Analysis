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rasai\OneDrive\Desktop\My Portfolios\Portfolio 2 - HR Data Analysis\Excel\"/>
    </mc:Choice>
  </mc:AlternateContent>
  <xr:revisionPtr revIDLastSave="0" documentId="13_ncr:1_{470CA18A-DE99-4CAD-890B-D972391741E7}" xr6:coauthVersionLast="47" xr6:coauthVersionMax="47" xr10:uidLastSave="{00000000-0000-0000-0000-000000000000}"/>
  <bookViews>
    <workbookView xWindow="-108" yWindow="-108" windowWidth="23256" windowHeight="12456" firstSheet="2" activeTab="6" xr2:uid="{00000000-000D-0000-FFFF-FFFF00000000}"/>
  </bookViews>
  <sheets>
    <sheet name="KPI" sheetId="7" r:id="rId1"/>
    <sheet name="Rating" sheetId="8" r:id="rId2"/>
    <sheet name="ByGender" sheetId="9" r:id="rId3"/>
    <sheet name="AttritionByCategories" sheetId="10" r:id="rId4"/>
    <sheet name="Data" sheetId="1" r:id="rId5"/>
    <sheet name="Images" sheetId="2" r:id="rId6"/>
    <sheet name="Background 3" sheetId="5" r:id="rId7"/>
    <sheet name="Background 1" sheetId="3" r:id="rId8"/>
    <sheet name="Background 2" sheetId="4" r:id="rId9"/>
    <sheet name="Background 4" sheetId="6" r:id="rId10"/>
  </sheets>
  <definedNames>
    <definedName name="_xlchart.v1.0" hidden="1">AttritionByCategories!$D$51:$D$59</definedName>
    <definedName name="_xlchart.v1.1" hidden="1">AttritionByCategories!$E$50</definedName>
    <definedName name="_xlchart.v1.10" hidden="1">AttritionByCategories!$E$50</definedName>
    <definedName name="_xlchart.v1.11" hidden="1">AttritionByCategories!$E$51:$E$59</definedName>
    <definedName name="_xlchart.v1.2" hidden="1">AttritionByCategories!$E$51:$E$59</definedName>
    <definedName name="_xlchart.v1.3" hidden="1">AttritionByCategories!$D$51:$D$59</definedName>
    <definedName name="_xlchart.v1.4" hidden="1">AttritionByCategories!$E$50</definedName>
    <definedName name="_xlchart.v1.5" hidden="1">AttritionByCategories!$E$51:$E$59</definedName>
    <definedName name="_xlchart.v1.9" hidden="1">AttritionByCategories!$D$51:$D$59</definedName>
    <definedName name="_xlchart.v2.12" hidden="1">AttritionByCategories!$D$43:$D$45</definedName>
    <definedName name="_xlchart.v2.13" hidden="1">AttritionByCategories!$E$42</definedName>
    <definedName name="_xlchart.v2.14" hidden="1">AttritionByCategories!$E$43:$E$45</definedName>
    <definedName name="_xlchart.v2.6" hidden="1">AttritionByCategories!$D$43:$D$45</definedName>
    <definedName name="_xlchart.v2.7" hidden="1">AttritionByCategories!$E$42</definedName>
    <definedName name="_xlchart.v2.8" hidden="1">AttritionByCategories!$E$43:$E$45</definedName>
    <definedName name="Slicer_Department">#N/A</definedName>
    <definedName name="Slicer_Education_Field2">#N/A</definedName>
    <definedName name="Slicer_Gender2">#N/A</definedName>
  </definedNames>
  <calcPr calcId="191029"/>
  <pivotCaches>
    <pivotCache cacheId="2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0W7NtiAel2xy0cZdwUBcRsMoEuXg6pzXui43o1bypBA="/>
    </ext>
  </extLst>
</workbook>
</file>

<file path=xl/calcChain.xml><?xml version="1.0" encoding="utf-8"?>
<calcChain xmlns="http://schemas.openxmlformats.org/spreadsheetml/2006/main">
  <c r="D52" i="10" l="1"/>
  <c r="D53" i="10"/>
  <c r="D54" i="10"/>
  <c r="D55" i="10"/>
  <c r="D56" i="10"/>
  <c r="D57" i="10"/>
  <c r="D58" i="10"/>
  <c r="D59" i="10"/>
  <c r="D51" i="10"/>
  <c r="D45" i="10"/>
  <c r="D44" i="10"/>
  <c r="D43" i="10"/>
  <c r="E52" i="10"/>
  <c r="E58" i="10"/>
  <c r="E59" i="10"/>
  <c r="E53" i="10"/>
  <c r="E54" i="10"/>
  <c r="E55" i="10"/>
  <c r="E57" i="10"/>
  <c r="E56" i="10"/>
  <c r="E51" i="10"/>
  <c r="E45" i="10"/>
  <c r="E44" i="10"/>
  <c r="E43" i="10"/>
  <c r="D16" i="10"/>
  <c r="D15" i="10"/>
  <c r="D14" i="10"/>
  <c r="B13" i="9"/>
  <c r="B12" i="9"/>
  <c r="B11" i="9"/>
  <c r="B7" i="8"/>
  <c r="C8" i="7"/>
  <c r="B8" i="7"/>
  <c r="A8" i="7"/>
  <c r="C11" i="9" l="1"/>
  <c r="C12" i="9"/>
  <c r="B8" i="8"/>
  <c r="C8" i="8" s="1"/>
  <c r="C7" i="8"/>
  <c r="D8" i="7"/>
  <c r="E8" i="7"/>
</calcChain>
</file>

<file path=xl/sharedStrings.xml><?xml version="1.0" encoding="utf-8"?>
<sst xmlns="http://schemas.openxmlformats.org/spreadsheetml/2006/main" count="19220" uniqueCount="1570">
  <si>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</si>
  <si>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</si>
  <si>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</si>
  <si>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</si>
  <si>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</si>
  <si>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</si>
  <si>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</si>
  <si>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</si>
  <si>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</si>
  <si>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</si>
  <si>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</si>
  <si>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</si>
  <si>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</si>
  <si>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</si>
  <si>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</si>
  <si>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</si>
  <si>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</si>
  <si>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</si>
  <si>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</si>
  <si>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</si>
  <si>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</si>
  <si>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</si>
  <si>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</si>
  <si>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</si>
  <si>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</si>
  <si>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</si>
  <si>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</si>
  <si>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</si>
  <si>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</si>
  <si>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</si>
  <si>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</si>
  <si>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</si>
  <si>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</si>
  <si>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</si>
  <si>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</si>
  <si>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</si>
  <si>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</si>
  <si>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</si>
  <si>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</si>
  <si>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</si>
  <si>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</si>
  <si>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</si>
  <si>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</si>
  <si>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</si>
  <si>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</si>
  <si>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</si>
  <si>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</si>
  <si>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</si>
  <si>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</si>
  <si>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</si>
  <si>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</si>
  <si>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</si>
  <si>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</si>
  <si>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</si>
  <si>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</si>
  <si>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</si>
  <si>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</si>
  <si>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</si>
  <si>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</si>
  <si>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</si>
  <si>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</si>
  <si>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</si>
  <si>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</si>
  <si>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</si>
  <si>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</si>
  <si>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</si>
  <si>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</si>
  <si>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</si>
  <si>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</si>
  <si>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</si>
  <si>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</si>
  <si>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</si>
  <si>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</si>
  <si>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</si>
  <si>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</si>
  <si>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</si>
  <si>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</si>
  <si>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</si>
  <si>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</si>
  <si>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</si>
  <si>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</si>
  <si>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</si>
  <si>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</si>
  <si>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</si>
  <si>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</si>
  <si>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</si>
  <si>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</si>
  <si>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</si>
  <si>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</si>
  <si>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</si>
  <si>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</si>
  <si>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</si>
  <si>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</si>
  <si>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</si>
  <si>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</si>
  <si>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</si>
  <si>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</si>
  <si>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</si>
  <si>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</si>
  <si>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</si>
  <si>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</si>
  <si>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</si>
  <si>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</si>
  <si>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</si>
  <si>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</si>
  <si>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</si>
  <si>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</si>
  <si>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</si>
  <si>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</si>
  <si>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</si>
  <si>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</si>
  <si>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</si>
  <si>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</si>
  <si>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</si>
  <si>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</si>
  <si>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</si>
  <si>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</si>
  <si>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</si>
  <si>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</si>
  <si>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</si>
  <si>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</si>
  <si>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</si>
  <si>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</si>
  <si>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</si>
  <si>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</si>
  <si>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</si>
  <si>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</si>
  <si>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</si>
  <si>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</si>
  <si>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</si>
  <si>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</si>
  <si>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</si>
  <si>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</si>
  <si>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</si>
  <si>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</si>
  <si>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</si>
  <si>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</si>
  <si>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</si>
  <si>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</si>
  <si>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</si>
  <si>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</si>
  <si>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</si>
  <si>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</si>
  <si>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</si>
  <si>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</si>
  <si>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</si>
  <si>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</si>
  <si>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</si>
  <si>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</si>
  <si>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</si>
  <si>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</si>
  <si>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</si>
  <si>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</si>
  <si>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</si>
  <si>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</si>
  <si>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</si>
  <si>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</si>
  <si>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</si>
  <si>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</si>
  <si>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</si>
  <si>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</si>
  <si>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</si>
  <si>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</si>
  <si>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</si>
  <si>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</si>
  <si>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</si>
  <si>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</si>
  <si>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</si>
  <si>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</si>
  <si>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</si>
  <si>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</si>
  <si>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</si>
  <si>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</si>
  <si>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</si>
  <si>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</si>
  <si>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</si>
  <si>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</si>
  <si>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</si>
  <si>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</si>
  <si>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</si>
  <si>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</si>
  <si>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</si>
  <si>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</si>
  <si>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</si>
  <si>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</si>
  <si>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</si>
  <si>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</si>
  <si>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</si>
  <si>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</si>
  <si>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</si>
  <si>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</si>
  <si>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</si>
  <si>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</si>
  <si>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</si>
  <si>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</si>
  <si>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</si>
  <si>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</si>
  <si>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</si>
  <si>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</si>
  <si>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</si>
  <si>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</si>
  <si>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</si>
  <si>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</si>
  <si>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</si>
  <si>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</si>
  <si>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</si>
  <si>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</si>
  <si>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</si>
  <si>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</si>
  <si>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</si>
  <si>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</si>
  <si>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</si>
  <si>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</si>
  <si>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</si>
  <si>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</si>
  <si>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</si>
  <si>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</si>
  <si>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</si>
  <si>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</si>
  <si>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</si>
  <si>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</si>
  <si>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</si>
  <si>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</si>
  <si>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</si>
  <si>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</si>
  <si>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</si>
  <si>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</si>
  <si>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</si>
  <si>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</si>
  <si>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</si>
  <si>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</si>
  <si>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</si>
  <si>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</si>
  <si>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</si>
  <si>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</si>
  <si>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</si>
  <si>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</si>
  <si>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</si>
  <si>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</si>
  <si>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</si>
  <si>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</si>
  <si>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</si>
  <si>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</si>
  <si>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</si>
  <si>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</si>
  <si>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</si>
  <si>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</si>
  <si>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</si>
  <si>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</si>
  <si>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</si>
  <si>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</si>
  <si>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</si>
  <si>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</si>
  <si>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</si>
  <si>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</si>
  <si>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</si>
  <si>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</si>
  <si>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</si>
  <si>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</si>
  <si>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</si>
  <si>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</si>
  <si>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</si>
  <si>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</si>
  <si>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</si>
  <si>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</si>
  <si>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</si>
  <si>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</si>
  <si>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</si>
  <si>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</si>
  <si>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</si>
  <si>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</si>
  <si>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</si>
  <si>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</si>
  <si>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</si>
  <si>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</si>
  <si>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</si>
  <si>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</si>
  <si>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</si>
  <si>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</si>
  <si>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</si>
  <si>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</si>
  <si>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</si>
  <si>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</si>
  <si>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</si>
  <si>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</si>
  <si>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</si>
  <si>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</si>
  <si>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</si>
  <si>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</si>
  <si>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</si>
  <si>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</si>
  <si>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</si>
  <si>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</si>
  <si>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</si>
  <si>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</si>
  <si>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</si>
  <si>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</si>
  <si>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</si>
  <si>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</si>
  <si>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</si>
  <si>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</si>
  <si>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</si>
  <si>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</si>
  <si>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</si>
  <si>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</si>
  <si>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</si>
  <si>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</si>
  <si>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</si>
  <si>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</si>
  <si>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</si>
  <si>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</si>
  <si>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</si>
  <si>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</si>
  <si>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</si>
  <si>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</si>
  <si>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</si>
  <si>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</si>
  <si>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</si>
  <si>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</si>
  <si>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</si>
  <si>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</si>
  <si>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</si>
  <si>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</si>
  <si>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</si>
  <si>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</si>
  <si>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</si>
  <si>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</si>
  <si>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</si>
  <si>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</si>
  <si>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</si>
  <si>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</si>
  <si>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</si>
  <si>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</si>
  <si>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</si>
  <si>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</si>
  <si>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</si>
  <si>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</si>
  <si>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</si>
  <si>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</si>
  <si>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</si>
  <si>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</si>
  <si>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</si>
  <si>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</si>
  <si>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</si>
  <si>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</si>
  <si>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</si>
  <si>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</si>
  <si>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</si>
  <si>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</si>
  <si>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</si>
  <si>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</si>
  <si>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</si>
  <si>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</si>
  <si>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</si>
  <si>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</si>
  <si>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</si>
  <si>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</si>
  <si>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</si>
  <si>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</si>
  <si>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</si>
  <si>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</si>
  <si>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</si>
  <si>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</si>
  <si>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</si>
  <si>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</si>
  <si>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</si>
  <si>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</si>
  <si>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</si>
  <si>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</si>
  <si>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</si>
  <si>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</si>
  <si>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</si>
  <si>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</si>
  <si>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</si>
  <si>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</si>
  <si>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</si>
  <si>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</si>
  <si>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</si>
  <si>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</si>
  <si>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</si>
  <si>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</si>
  <si>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</si>
  <si>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</si>
  <si>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</si>
  <si>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</si>
  <si>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</si>
  <si>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</si>
  <si>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</si>
  <si>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</si>
  <si>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</si>
  <si>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</si>
  <si>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</si>
  <si>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</si>
  <si>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</si>
  <si>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</si>
  <si>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</si>
  <si>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</si>
  <si>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</si>
  <si>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</si>
  <si>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</si>
  <si>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</si>
  <si>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</si>
  <si>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</si>
  <si>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</si>
  <si>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</si>
  <si>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</si>
  <si>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</si>
  <si>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</si>
  <si>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</si>
  <si>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</si>
  <si>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</si>
  <si>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</si>
  <si>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</si>
  <si>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</si>
  <si>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</si>
  <si>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</si>
  <si>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</si>
  <si>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</si>
  <si>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</si>
  <si>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</si>
  <si>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</si>
  <si>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</si>
  <si>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</si>
  <si>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</si>
  <si>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</si>
  <si>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</si>
  <si>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</si>
  <si>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</si>
  <si>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</si>
  <si>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</si>
  <si>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</si>
  <si>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</si>
  <si>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</si>
  <si>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</si>
  <si>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</si>
  <si>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</si>
  <si>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</si>
  <si>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</si>
  <si>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</si>
  <si>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</si>
  <si>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</si>
  <si>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</si>
  <si>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</si>
  <si>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</si>
  <si>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</si>
  <si>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</si>
  <si>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</si>
  <si>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</si>
  <si>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</si>
  <si>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</si>
  <si>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</si>
  <si>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</si>
  <si>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</si>
  <si>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</si>
  <si>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</si>
  <si>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</si>
  <si>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</si>
  <si>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</si>
  <si>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</si>
  <si>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</si>
  <si>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</si>
  <si>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</si>
  <si>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</si>
  <si>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</si>
  <si>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</si>
  <si>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</si>
  <si>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</si>
  <si>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</si>
  <si>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</si>
  <si>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</si>
  <si>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</si>
  <si>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</si>
  <si>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</si>
  <si>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</si>
  <si>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</si>
  <si>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</si>
  <si>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</si>
  <si>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</si>
  <si>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</si>
  <si>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</si>
  <si>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</si>
  <si>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</si>
  <si>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</si>
  <si>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</si>
  <si>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</si>
  <si>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</si>
  <si>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</si>
  <si>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</si>
  <si>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</si>
  <si>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</si>
  <si>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</si>
  <si>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</si>
  <si>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</si>
  <si>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</si>
  <si>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</si>
  <si>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</si>
  <si>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</si>
  <si>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</si>
  <si>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</si>
  <si>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</si>
  <si>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</si>
  <si>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</si>
  <si>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</si>
  <si>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</si>
  <si>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</si>
  <si>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</si>
  <si>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</si>
  <si>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</si>
  <si>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</si>
  <si>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</si>
  <si>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</si>
  <si>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</si>
  <si>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</si>
  <si>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</si>
  <si>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</si>
  <si>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</si>
  <si>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</si>
  <si>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</si>
  <si>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</si>
  <si>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</si>
  <si>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</si>
  <si>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</si>
  <si>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</si>
  <si>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</si>
  <si>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</si>
  <si>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</si>
  <si>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</si>
  <si>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</si>
  <si>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</si>
  <si>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</si>
  <si>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</si>
  <si>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</si>
  <si>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</si>
  <si>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</si>
  <si>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</si>
  <si>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</si>
  <si>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</si>
  <si>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</si>
  <si>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</si>
  <si>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</si>
  <si>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</si>
  <si>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</si>
  <si>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</si>
  <si>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</si>
  <si>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</si>
  <si>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</si>
  <si>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</si>
  <si>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</si>
  <si>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</si>
  <si>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</si>
  <si>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</si>
  <si>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</si>
  <si>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</si>
  <si>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</si>
  <si>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</si>
  <si>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</si>
  <si>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</si>
  <si>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</si>
  <si>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</si>
  <si>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</si>
  <si>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</si>
  <si>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</si>
  <si>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</si>
  <si>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</si>
  <si>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</si>
  <si>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</si>
  <si>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</si>
  <si>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</si>
  <si>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</si>
  <si>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</si>
  <si>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</si>
  <si>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</si>
  <si>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</si>
  <si>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</si>
  <si>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</si>
  <si>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</si>
  <si>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</si>
  <si>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</si>
  <si>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</si>
  <si>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</si>
  <si>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</si>
  <si>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</si>
  <si>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</si>
  <si>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</si>
  <si>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</si>
  <si>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</si>
  <si>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</si>
  <si>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</si>
  <si>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</si>
  <si>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</si>
  <si>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</si>
  <si>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</si>
  <si>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</si>
  <si>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</si>
  <si>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</si>
  <si>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</si>
  <si>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</si>
  <si>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</si>
  <si>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</si>
  <si>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</si>
  <si>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</si>
  <si>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</si>
  <si>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</si>
  <si>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</si>
  <si>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</si>
  <si>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</si>
  <si>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</si>
  <si>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</si>
  <si>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</si>
  <si>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</si>
  <si>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</si>
  <si>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</si>
  <si>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</si>
  <si>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</si>
  <si>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</si>
  <si>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</si>
  <si>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</si>
  <si>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</si>
  <si>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</si>
  <si>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</si>
  <si>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</si>
  <si>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</si>
  <si>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</si>
  <si>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</si>
  <si>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</si>
  <si>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</si>
  <si>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</si>
  <si>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</si>
  <si>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</si>
  <si>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</si>
  <si>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</si>
  <si>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</si>
  <si>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</si>
  <si>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</si>
  <si>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</si>
  <si>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</si>
  <si>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</si>
  <si>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</si>
  <si>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</si>
  <si>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</si>
  <si>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</si>
  <si>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</si>
  <si>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</si>
  <si>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</si>
  <si>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</si>
  <si>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</si>
  <si>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</si>
  <si>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</si>
  <si>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</si>
  <si>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</si>
  <si>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</si>
  <si>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</si>
  <si>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</si>
  <si>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</si>
  <si>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</si>
  <si>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</si>
  <si>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</si>
  <si>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</si>
  <si>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</si>
  <si>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</si>
  <si>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</si>
  <si>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</si>
  <si>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</si>
  <si>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</si>
  <si>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</si>
  <si>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</si>
  <si>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</si>
  <si>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</si>
  <si>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</si>
  <si>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</si>
  <si>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</si>
  <si>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</si>
  <si>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</si>
  <si>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</si>
  <si>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</si>
  <si>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</si>
  <si>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</si>
  <si>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</si>
  <si>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</si>
  <si>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</si>
  <si>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</si>
  <si>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</si>
  <si>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</si>
  <si>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</si>
  <si>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</si>
  <si>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</si>
  <si>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</si>
  <si>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</si>
  <si>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</si>
  <si>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</si>
  <si>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</si>
  <si>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</si>
  <si>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</si>
  <si>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</si>
  <si>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</si>
  <si>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</si>
  <si>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</si>
  <si>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</si>
  <si>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</si>
  <si>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</si>
  <si>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</si>
  <si>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</si>
  <si>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</si>
  <si>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</si>
  <si>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</si>
  <si>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</si>
  <si>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</si>
  <si>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</si>
  <si>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</si>
  <si>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</si>
  <si>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</si>
  <si>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</si>
  <si>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</si>
  <si>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</si>
  <si>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</si>
  <si>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</si>
  <si>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</si>
  <si>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</si>
  <si>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</si>
  <si>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</si>
  <si>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</si>
  <si>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</si>
  <si>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</si>
  <si>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</si>
  <si>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</si>
  <si>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</si>
  <si>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</si>
  <si>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</si>
  <si>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</si>
  <si>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</si>
  <si>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</si>
  <si>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</si>
  <si>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</si>
  <si>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</si>
  <si>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</si>
  <si>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</si>
  <si>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</si>
  <si>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</si>
  <si>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</si>
  <si>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</si>
  <si>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</si>
  <si>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</si>
  <si>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</si>
  <si>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</si>
  <si>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</si>
  <si>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</si>
  <si>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</si>
  <si>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</si>
  <si>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</si>
  <si>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</si>
  <si>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</si>
  <si>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</si>
  <si>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</si>
  <si>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</si>
  <si>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</si>
  <si>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</si>
  <si>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</si>
  <si>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</si>
  <si>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</si>
  <si>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</si>
  <si>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</si>
  <si>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</si>
  <si>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</si>
  <si>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</si>
  <si>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</si>
  <si>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</si>
  <si>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</si>
  <si>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</si>
  <si>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</si>
  <si>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</si>
  <si>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</si>
  <si>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</si>
  <si>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</si>
  <si>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</si>
  <si>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</si>
  <si>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</si>
  <si>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</si>
  <si>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</si>
  <si>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</si>
  <si>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</si>
  <si>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</si>
  <si>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</si>
  <si>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</si>
  <si>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</si>
  <si>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</si>
  <si>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</si>
  <si>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</si>
  <si>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</si>
  <si>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</si>
  <si>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</si>
  <si>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</si>
  <si>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</si>
  <si>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</si>
  <si>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</si>
  <si>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</si>
  <si>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</si>
  <si>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</si>
  <si>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</si>
  <si>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</si>
  <si>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</si>
  <si>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</si>
  <si>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</si>
  <si>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</si>
  <si>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</si>
  <si>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</si>
  <si>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</si>
  <si>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</si>
  <si>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</si>
  <si>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</si>
  <si>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</si>
  <si>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</si>
  <si>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</si>
  <si>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</si>
  <si>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</si>
  <si>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</si>
  <si>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</si>
  <si>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</si>
  <si>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</si>
  <si>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</si>
  <si>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</si>
  <si>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</si>
  <si>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</si>
  <si>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</si>
  <si>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</si>
  <si>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</si>
  <si>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</si>
  <si>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</si>
  <si>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</si>
  <si>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</si>
  <si>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</si>
  <si>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</si>
  <si>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</si>
  <si>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</si>
  <si>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</si>
  <si>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</si>
  <si>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</si>
  <si>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</si>
  <si>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</si>
  <si>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</si>
  <si>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</si>
  <si>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</si>
  <si>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</si>
  <si>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</si>
  <si>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</si>
  <si>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</si>
  <si>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</si>
  <si>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</si>
  <si>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</si>
  <si>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</si>
  <si>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</si>
  <si>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</si>
  <si>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</si>
  <si>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</si>
  <si>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</si>
  <si>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</si>
  <si>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</si>
  <si>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</si>
  <si>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</si>
  <si>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</si>
  <si>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</si>
  <si>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</si>
  <si>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</si>
  <si>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</si>
  <si>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</si>
  <si>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</si>
  <si>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</si>
  <si>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</si>
  <si>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</si>
  <si>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</si>
  <si>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</si>
  <si>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</si>
  <si>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</si>
  <si>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</si>
  <si>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</si>
  <si>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</si>
  <si>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</si>
  <si>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</si>
  <si>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</si>
  <si>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</si>
  <si>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</si>
  <si>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</si>
  <si>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</si>
  <si>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</si>
  <si>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</si>
  <si>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</si>
  <si>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</si>
  <si>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</si>
  <si>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</si>
  <si>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</si>
  <si>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</si>
  <si>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</si>
  <si>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</si>
  <si>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</si>
  <si>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</si>
  <si>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</si>
  <si>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</si>
  <si>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</si>
  <si>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</si>
  <si>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</si>
  <si>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</si>
  <si>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</si>
  <si>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</si>
  <si>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</si>
  <si>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</si>
  <si>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</si>
  <si>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</si>
  <si>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</si>
  <si>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</si>
  <si>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</si>
  <si>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</si>
  <si>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</si>
  <si>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</si>
  <si>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</si>
  <si>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</si>
  <si>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</si>
  <si>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</si>
  <si>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</si>
  <si>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</si>
  <si>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</si>
  <si>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</si>
  <si>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</si>
  <si>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</si>
  <si>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</si>
  <si>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</si>
  <si>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</si>
  <si>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</si>
  <si>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</si>
  <si>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</si>
  <si>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</si>
  <si>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</si>
  <si>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</si>
  <si>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</si>
  <si>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</si>
  <si>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</si>
  <si>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</si>
  <si>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</si>
  <si>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</si>
  <si>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</si>
  <si>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</si>
  <si>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</si>
  <si>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</si>
  <si>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</si>
  <si>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</si>
  <si>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</si>
  <si>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</si>
  <si>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</si>
  <si>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</si>
  <si>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</si>
  <si>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</si>
  <si>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</si>
  <si>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</si>
  <si>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</si>
  <si>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</si>
  <si>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</si>
  <si>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</si>
  <si>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</si>
  <si>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</si>
  <si>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</si>
  <si>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</si>
  <si>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</si>
  <si>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</si>
  <si>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</si>
  <si>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</si>
  <si>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</si>
  <si>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</si>
  <si>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</si>
  <si>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</si>
  <si>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</si>
  <si>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</si>
  <si>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</si>
  <si>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</si>
  <si>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</si>
  <si>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</si>
  <si>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</si>
  <si>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</si>
  <si>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</si>
  <si>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</si>
  <si>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</si>
  <si>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</si>
  <si>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</si>
  <si>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</si>
  <si>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</si>
  <si>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</si>
  <si>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</si>
  <si>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</si>
  <si>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</si>
  <si>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</si>
  <si>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</si>
  <si>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</si>
  <si>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</si>
  <si>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</si>
  <si>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</si>
  <si>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</si>
  <si>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</si>
  <si>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</si>
  <si>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</si>
  <si>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</si>
  <si>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</si>
  <si>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</si>
  <si>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</si>
  <si>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</si>
  <si>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</si>
  <si>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</si>
  <si>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</si>
  <si>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</si>
  <si>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</si>
  <si>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</si>
  <si>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</si>
  <si>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</si>
  <si>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</si>
  <si>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</si>
  <si>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</si>
  <si>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</si>
  <si>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</si>
  <si>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</si>
  <si>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</si>
  <si>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</si>
  <si>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</si>
  <si>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</si>
  <si>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</si>
  <si>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</si>
  <si>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</si>
  <si>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</si>
  <si>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</si>
  <si>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</si>
  <si>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</si>
  <si>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</si>
  <si>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</si>
  <si>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</si>
  <si>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</si>
  <si>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</si>
  <si>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</si>
  <si>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</si>
  <si>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</si>
  <si>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</si>
  <si>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</si>
  <si>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</si>
  <si>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</si>
  <si>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</si>
  <si>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</si>
  <si>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</si>
  <si>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</si>
  <si>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</si>
  <si>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</si>
  <si>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</si>
  <si>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</si>
  <si>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</si>
  <si>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</si>
  <si>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</si>
  <si>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</si>
  <si>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</si>
  <si>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</si>
  <si>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</si>
  <si>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</si>
  <si>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</si>
  <si>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</si>
  <si>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</si>
  <si>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</si>
  <si>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</si>
  <si>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</si>
  <si>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</si>
  <si>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</si>
  <si>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</si>
  <si>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</si>
  <si>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</si>
  <si>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</si>
  <si>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</si>
  <si>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</si>
  <si>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</si>
  <si>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</si>
  <si>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</si>
  <si>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</si>
  <si>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</si>
  <si>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</si>
  <si>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</si>
  <si>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</si>
  <si>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</si>
  <si>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</si>
  <si>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</si>
  <si>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</si>
  <si>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</si>
  <si>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</si>
  <si>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</si>
  <si>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</si>
  <si>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</si>
  <si>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</si>
  <si>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</si>
  <si>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</si>
  <si>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</si>
  <si>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</si>
  <si>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</si>
  <si>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</si>
  <si>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</si>
  <si>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</si>
  <si>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</si>
  <si>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</si>
  <si>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</si>
  <si>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</si>
  <si>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</si>
  <si>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</si>
  <si>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</si>
  <si>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</si>
  <si>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</si>
  <si>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</si>
  <si>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</si>
  <si>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</si>
  <si>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</si>
  <si>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</si>
  <si>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</si>
  <si>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</si>
  <si>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</si>
  <si>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</si>
  <si>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</si>
  <si>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</si>
  <si>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</si>
  <si>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</si>
  <si>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</si>
  <si>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</si>
  <si>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</si>
  <si>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</si>
  <si>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</si>
  <si>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</si>
  <si>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</si>
  <si>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</si>
  <si>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</si>
  <si>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</si>
  <si>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</si>
  <si>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</si>
  <si>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</si>
  <si>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</si>
  <si>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</si>
  <si>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</si>
  <si>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</si>
  <si>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</si>
  <si>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</si>
  <si>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</si>
  <si>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</si>
  <si>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</si>
  <si>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</si>
  <si>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</si>
  <si>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</si>
  <si>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</si>
  <si>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</si>
  <si>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</si>
  <si>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</si>
  <si>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</si>
  <si>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</si>
  <si>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</si>
  <si>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</si>
  <si>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</si>
  <si>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</si>
  <si>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</si>
  <si>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</si>
  <si>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</si>
  <si>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</si>
  <si>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</si>
  <si>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</si>
  <si>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</si>
  <si>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</si>
  <si>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</si>
  <si>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</si>
  <si>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</si>
  <si>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</si>
  <si>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</si>
  <si>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</si>
  <si>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</si>
  <si>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</si>
  <si>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</si>
  <si>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</si>
  <si>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</si>
  <si>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</si>
  <si>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</si>
  <si>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</si>
  <si>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</si>
  <si>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</si>
  <si>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</si>
  <si>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</si>
  <si>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</si>
  <si>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</si>
  <si>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</si>
  <si>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</si>
  <si>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</si>
  <si>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</si>
  <si>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</si>
  <si>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</si>
  <si>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</si>
  <si>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</si>
  <si>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</si>
  <si>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</si>
  <si>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</si>
  <si>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</si>
  <si>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</si>
  <si>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</si>
  <si>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</si>
  <si>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</si>
  <si>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</si>
  <si>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</si>
  <si>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</si>
  <si>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</si>
  <si>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</si>
  <si>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</si>
  <si>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</si>
  <si>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</si>
  <si>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</si>
  <si>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</si>
  <si>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</si>
  <si>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</si>
  <si>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</si>
  <si>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</si>
  <si>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</si>
  <si>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</si>
  <si>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</si>
  <si>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</si>
  <si>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</si>
  <si>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</si>
  <si>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</si>
  <si>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</si>
  <si>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</si>
  <si>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</si>
  <si>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</si>
  <si>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</si>
  <si>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</si>
  <si>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</si>
  <si>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</si>
  <si>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</si>
  <si>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</si>
  <si>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</si>
  <si>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</si>
  <si>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</si>
  <si>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</si>
  <si>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</si>
  <si>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</si>
  <si>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</si>
  <si>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</si>
  <si>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</si>
  <si>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</si>
  <si>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</si>
  <si>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</si>
  <si>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</si>
  <si>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</si>
  <si>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</si>
  <si>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</si>
  <si>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</si>
  <si>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</si>
  <si>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</si>
  <si>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</si>
  <si>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</si>
  <si>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</si>
  <si>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</si>
  <si>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</si>
  <si>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</si>
  <si>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</si>
  <si>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</si>
  <si>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</si>
  <si>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</si>
  <si>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</si>
  <si>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</si>
  <si>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</si>
  <si>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</si>
  <si>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</si>
  <si>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</si>
  <si>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</si>
  <si>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</si>
  <si>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</si>
  <si>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</si>
  <si>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</si>
  <si>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</si>
  <si>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</si>
  <si>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</si>
  <si>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</si>
  <si>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</si>
  <si>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</si>
  <si>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</si>
  <si>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</si>
  <si>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</si>
  <si>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</si>
  <si>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</si>
  <si>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</si>
  <si>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</si>
  <si>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</si>
  <si>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</si>
  <si>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</si>
  <si>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</si>
  <si>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</si>
  <si>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</si>
  <si>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</si>
  <si>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</si>
  <si>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</si>
  <si>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</si>
  <si>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</si>
  <si>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</si>
  <si>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</si>
  <si>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</si>
  <si>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</si>
  <si>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</si>
  <si>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</si>
  <si>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</si>
  <si>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</si>
  <si>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</si>
  <si>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</si>
  <si>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</si>
  <si>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</si>
  <si>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</si>
  <si>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</si>
  <si>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</si>
  <si>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</si>
  <si>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</si>
  <si>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</si>
  <si>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</si>
  <si>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</si>
  <si>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</si>
  <si>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</si>
  <si>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</si>
  <si>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</si>
  <si>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</si>
  <si>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</si>
  <si>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</si>
  <si>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</si>
  <si>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</si>
  <si>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</si>
  <si>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</si>
  <si>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</si>
  <si>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</si>
  <si>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</si>
  <si>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</si>
  <si>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</si>
  <si>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</si>
  <si>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</si>
  <si>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</si>
  <si>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</si>
  <si>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</si>
  <si>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</si>
  <si>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</si>
  <si>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</si>
  <si>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</si>
  <si>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</si>
  <si>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</si>
  <si>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</si>
  <si>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</si>
  <si>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</si>
  <si>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</si>
  <si>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</si>
  <si>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</si>
  <si>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</si>
  <si>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</si>
  <si>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</si>
  <si>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</si>
  <si>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</si>
  <si>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</si>
  <si>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</si>
  <si>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</si>
  <si>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</si>
  <si>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</si>
  <si>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</si>
  <si>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</si>
  <si>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</si>
  <si>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</si>
  <si>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</si>
  <si>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</si>
  <si>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</si>
  <si>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</si>
  <si>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</si>
  <si>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</si>
  <si>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</si>
  <si>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</si>
  <si>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</si>
  <si>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</si>
  <si>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</si>
  <si>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</si>
  <si>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</si>
  <si>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</si>
  <si>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</si>
  <si>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</si>
  <si>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</si>
  <si>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</si>
  <si>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</si>
  <si>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</si>
  <si>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</si>
  <si>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</si>
  <si>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</si>
  <si>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</si>
  <si>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</si>
  <si>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</si>
  <si>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</si>
  <si>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</si>
  <si>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</si>
  <si>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</si>
  <si>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</si>
  <si>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</si>
  <si>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</si>
  <si>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</si>
  <si>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</si>
  <si>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</si>
  <si>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</si>
  <si>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</si>
  <si>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</si>
  <si>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</si>
  <si>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</si>
  <si>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</si>
  <si>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</si>
  <si>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</si>
  <si>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</si>
  <si>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</si>
  <si>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</si>
  <si>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</si>
  <si>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</si>
  <si>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</si>
  <si>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</si>
  <si>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</si>
  <si>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</si>
  <si>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</si>
  <si>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</si>
  <si>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</si>
  <si>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</si>
  <si>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</si>
  <si>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</si>
  <si>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</si>
  <si>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</si>
  <si>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</si>
  <si>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</si>
  <si>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</si>
  <si>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</si>
  <si>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</si>
  <si>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</si>
  <si>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</si>
  <si>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</si>
  <si>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</si>
  <si>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</si>
  <si>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</si>
  <si>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</si>
  <si>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</si>
  <si>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</si>
  <si>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</si>
  <si>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</si>
  <si>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</si>
  <si>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</si>
  <si>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</si>
  <si>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</si>
  <si>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</si>
  <si>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</si>
  <si>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</si>
  <si>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</si>
  <si>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</si>
  <si>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</si>
  <si>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</si>
  <si>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</si>
  <si>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</si>
  <si>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</si>
  <si>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</si>
  <si>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</si>
  <si>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</si>
  <si>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</si>
  <si>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</si>
  <si>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</si>
  <si>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</si>
  <si>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</si>
  <si>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</si>
  <si>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</si>
  <si>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</si>
  <si>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</si>
  <si>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</si>
  <si>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</si>
  <si>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</si>
  <si>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</si>
  <si>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</si>
  <si>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</si>
  <si>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</si>
  <si>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</si>
  <si>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</si>
  <si>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</si>
  <si>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</si>
  <si>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</si>
  <si>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</si>
  <si>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</si>
  <si>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</si>
  <si>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</si>
  <si>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</si>
  <si>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</si>
  <si>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</si>
  <si>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</si>
  <si>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</si>
  <si>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</si>
  <si>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</si>
  <si>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</si>
  <si>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</si>
  <si>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</si>
  <si>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</si>
  <si>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</si>
  <si>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</si>
  <si>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</si>
  <si>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</si>
  <si>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</si>
  <si>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</si>
  <si>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</si>
  <si>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</si>
  <si>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</si>
  <si>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</si>
  <si>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</si>
  <si>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</si>
  <si>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</si>
  <si>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</si>
  <si>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</si>
  <si>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</si>
  <si>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</si>
  <si>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</si>
  <si>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</si>
  <si>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</si>
  <si>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</si>
  <si>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</si>
  <si>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</si>
  <si>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</si>
  <si>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</si>
  <si>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</si>
  <si>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</si>
  <si>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</si>
  <si>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</si>
  <si>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</si>
  <si>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</si>
  <si>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</si>
  <si>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</si>
  <si>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</si>
  <si>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</si>
  <si>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</si>
  <si>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</si>
  <si>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</si>
  <si>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</si>
  <si>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</si>
  <si>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</si>
  <si>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</si>
  <si>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</si>
  <si>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</si>
  <si>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</si>
  <si>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</si>
  <si>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</si>
  <si>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</si>
  <si>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</si>
  <si>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</si>
  <si>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</si>
  <si>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</si>
  <si>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</si>
  <si>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</si>
  <si>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</si>
  <si>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</si>
  <si>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</si>
  <si>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</si>
  <si>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</si>
  <si>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</si>
  <si>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</si>
  <si>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</si>
  <si>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</si>
  <si>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</si>
  <si>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</si>
  <si>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</si>
  <si>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</si>
  <si>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Total Employees</t>
  </si>
  <si>
    <t>Count of Employee Number</t>
  </si>
  <si>
    <t>Sum of CF_attrition count</t>
  </si>
  <si>
    <t>Average of Age</t>
  </si>
  <si>
    <t>Attrition Count</t>
  </si>
  <si>
    <t>Average Age</t>
  </si>
  <si>
    <t>Active Employees</t>
  </si>
  <si>
    <t>Attrition Rate</t>
  </si>
  <si>
    <t>Average of Job Satisfaction</t>
  </si>
  <si>
    <t>Rating</t>
  </si>
  <si>
    <t>Balance Rating</t>
  </si>
  <si>
    <t>Row Labels</t>
  </si>
  <si>
    <t>Grand Total</t>
  </si>
  <si>
    <t>Count of Employee Count</t>
  </si>
  <si>
    <t>Total</t>
  </si>
  <si>
    <t>Married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</si>
</sst>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4" formatCode="0.0"/>
  </numFmts>
  <fonts count="3" x14ac:knownFonts="1">
    <font>
      <sz val="12"/>
      <color theme="1"/>
      <name val="Calibri"/>
      <scheme val="minor"/>
    </font>
    <font>
      <sz val="12"/>
      <color theme="1"/>
      <name val="Calibri"/>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1" fillId="0" borderId="0" xfId="0" applyFont="1"/>
    <xf numFmtId="0" fontId="0" fillId="0" borderId="1" xfId="0"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0" fillId="0" borderId="7" xfId="0" applyNumberFormat="1" applyBorder="1"/>
    <xf numFmtId="0" fontId="0" fillId="0" borderId="8" xfId="0" applyBorder="1"/>
    <xf numFmtId="0" fontId="0" fillId="0" borderId="9" xfId="0" applyNumberFormat="1" applyBorder="1"/>
    <xf numFmtId="10" fontId="0" fillId="0" borderId="0" xfId="0" applyNumberFormat="1"/>
    <xf numFmtId="1" fontId="0" fillId="0" borderId="0" xfId="0" applyNumberFormat="1"/>
    <xf numFmtId="174" fontId="0" fillId="0" borderId="4" xfId="0" applyNumberFormat="1" applyBorder="1"/>
    <xf numFmtId="0" fontId="2" fillId="0" borderId="0" xfId="0" applyFont="1"/>
    <xf numFmtId="174" fontId="0" fillId="0" borderId="0" xfId="0" applyNumberFormat="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10" xfId="0" applyNumberFormat="1" applyBorder="1"/>
    <xf numFmtId="0" fontId="0" fillId="0" borderId="6" xfId="0" applyBorder="1" applyAlignment="1">
      <alignment horizontal="left"/>
    </xf>
    <xf numFmtId="9" fontId="2" fillId="0" borderId="0" xfId="1" applyFont="1"/>
    <xf numFmtId="9" fontId="0" fillId="0" borderId="0" xfId="1" applyFont="1"/>
    <xf numFmtId="10" fontId="0" fillId="0" borderId="0" xfId="1" applyNumberFormat="1" applyFont="1"/>
    <xf numFmtId="0" fontId="2" fillId="0" borderId="0" xfId="0" applyFont="1" applyFill="1" applyBorder="1"/>
  </cellXfs>
  <cellStyles count="2">
    <cellStyle name="Normal" xfId="0" builtinId="0"/>
    <cellStyle name="Percent" xfId="1" builtinId="5"/>
  </cellStyles>
  <dxfs count="17">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font>
        <b val="0"/>
        <i val="0"/>
        <sz val="8"/>
        <name val="Calibri"/>
        <family val="2"/>
        <scheme val="minor"/>
      </font>
      <fill>
        <patternFill>
          <bgColor theme="0" tint="-4.9989318521683403E-2"/>
        </patternFill>
      </fill>
    </dxf>
    <dxf>
      <numFmt numFmtId="17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16"/>
      <tableStyleElement type="firstRowStripe" dxfId="15"/>
      <tableStyleElement type="secondRowStripe" dxfId="14"/>
    </tableStyle>
    <tableStyle name="mySlicer" pivot="0" table="0" count="3" xr9:uid="{14280E87-14C7-40EE-A2A4-1D3BFDA08CB9}">
      <tableStyleElement type="wholeTable" dxfId="12"/>
    </tableStyle>
  </tableStyles>
  <extLst>
    <ext xmlns:x14="http://schemas.microsoft.com/office/spreadsheetml/2009/9/main" uri="{46F421CA-312F-682f-3DD2-61675219B42D}">
      <x14:dxfs count="15">
        <dxf>
          <fill>
            <patternFill>
              <bgColor theme="0" tint="-0.14996795556505021"/>
            </patternFill>
          </fill>
        </dxf>
        <dxf>
          <font>
            <b val="0"/>
            <i val="0"/>
            <sz val="8"/>
            <name val="Calibri"/>
            <family val="2"/>
            <scheme val="minor"/>
          </font>
          <fill>
            <gradientFill degree="90">
              <stop position="0">
                <color theme="9" tint="0.59999389629810485"/>
              </stop>
              <stop position="1">
                <color theme="8" tint="0.40000610370189521"/>
              </stop>
            </gradientFill>
          </fill>
        </dxf>
        <dxf>
          <fill>
            <patternFill>
              <bgColor theme="0" tint="-0.14996795556505021"/>
            </patternFill>
          </fill>
        </dxf>
        <dxf>
          <font>
            <b val="0"/>
            <i val="0"/>
            <sz val="8"/>
            <name val="Calibri"/>
            <family val="2"/>
            <scheme val="minor"/>
          </font>
          <fill>
            <gradientFill degree="90">
              <stop position="0">
                <color theme="9" tint="0.59999389629810485"/>
              </stop>
              <stop position="1">
                <color theme="8" tint="0.40000610370189521"/>
              </stop>
            </gradientFill>
          </fill>
        </dxf>
        <dxf>
          <fill>
            <patternFill>
              <bgColor theme="0" tint="-0.14996795556505021"/>
            </patternFill>
          </fill>
        </dxf>
        <dxf>
          <font>
            <b val="0"/>
            <i val="0"/>
            <sz val="10"/>
            <name val="Calibri"/>
            <family val="2"/>
            <scheme val="minor"/>
          </font>
          <fill>
            <gradientFill degree="90">
              <stop position="0">
                <color theme="9" tint="0.59999389629810485"/>
              </stop>
              <stop position="1">
                <color theme="8" tint="0.40000610370189521"/>
              </stop>
            </gradientFill>
          </fill>
        </dxf>
        <dxf>
          <fill>
            <patternFill>
              <bgColor theme="0" tint="-0.14996795556505021"/>
            </patternFill>
          </fill>
        </dxf>
        <dxf>
          <font>
            <b/>
            <i val="0"/>
            <name val="Calibri"/>
            <family val="2"/>
            <scheme val="minor"/>
          </font>
          <fill>
            <gradientFill degree="90">
              <stop position="0">
                <color theme="9" tint="0.59999389629810485"/>
              </stop>
              <stop position="1">
                <color theme="8" tint="0.40000610370189521"/>
              </stop>
            </gradientFill>
          </fill>
        </dxf>
        <dxf>
          <fill>
            <patternFill>
              <bgColor theme="0" tint="-0.14996795556505021"/>
            </patternFill>
          </fill>
        </dxf>
        <dxf>
          <font>
            <b/>
            <i val="0"/>
            <name val="Calibri"/>
            <family val="2"/>
            <scheme val="minor"/>
          </font>
          <fill>
            <gradientFill degree="90">
              <stop position="0">
                <color theme="9" tint="0.59999389629810485"/>
              </stop>
              <stop position="1">
                <color theme="8" tint="0.40000610370189521"/>
              </stop>
            </gradientFill>
          </fill>
        </dxf>
        <dxf>
          <fill>
            <patternFill>
              <bgColor theme="0" tint="-0.14996795556505021"/>
            </patternFill>
          </fill>
        </dxf>
        <dxf>
          <font>
            <b/>
            <i val="0"/>
            <name val="Calibri"/>
            <family val="2"/>
            <scheme val="minor"/>
          </font>
          <fill>
            <gradientFill degree="90">
              <stop position="0">
                <color theme="9" tint="0.59999389629810485"/>
              </stop>
              <stop position="1">
                <color theme="8" tint="0.40000610370189521"/>
              </stop>
            </gradientFill>
          </fill>
        </dxf>
        <dxf>
          <fill>
            <patternFill>
              <bgColor theme="0" tint="-0.14996795556505021"/>
            </patternFill>
          </fill>
        </dxf>
        <dxf>
          <font>
            <b/>
            <i val="0"/>
            <name val="Calibri"/>
            <family val="2"/>
            <scheme val="minor"/>
          </font>
          <fill>
            <gradientFill degree="90">
              <stop position="0">
                <color theme="9" tint="0.59999389629810485"/>
              </stop>
              <stop position="1">
                <color theme="8" tint="0.40000610370189521"/>
              </stop>
            </gradientFill>
          </fill>
        </dxf>
        <dxf>
          <font>
            <b/>
            <i val="0"/>
            <name val="Calibri"/>
            <family val="2"/>
            <scheme val="minor"/>
          </font>
          <fill>
            <gradientFill degree="90">
              <stop position="0">
                <color theme="9" tint="0.59999389629810485"/>
              </stop>
              <stop position="1">
                <color theme="8" tint="0.40000610370189521"/>
              </stop>
            </gradientFill>
          </fill>
        </dxf>
      </x14:dxfs>
    </ext>
    <ext xmlns:x14="http://schemas.microsoft.com/office/spreadsheetml/2009/9/main" uri="{EB79DEF2-80B8-43e5-95BD-54CBDDF9020C}">
      <x14:slicerStyles defaultSlicerStyle="SlicerStyleLight1">
        <x14:slicerStyle name="mySlicer">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1DDB-4062-B059-C552D771012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36E-2"/>
          <c:y val="7.407407407407407E-2"/>
          <c:w val="0.89971084864391948"/>
          <c:h val="0.8416746864975212"/>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B073-4E1D-8091-C6EA036E5086}"/>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B073-4E1D-8091-C6EA036E5086}"/>
            </c:ext>
          </c:extLst>
        </c:ser>
        <c:dLbls>
          <c:showLegendKey val="0"/>
          <c:showVal val="0"/>
          <c:showCatName val="0"/>
          <c:showSerName val="0"/>
          <c:showPercent val="0"/>
          <c:showBubbleSize val="0"/>
        </c:dLbls>
        <c:gapWidth val="0"/>
        <c:overlap val="100"/>
        <c:axId val="1268792928"/>
        <c:axId val="1268793408"/>
      </c:barChart>
      <c:catAx>
        <c:axId val="1268792928"/>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793408"/>
        <c:crosses val="autoZero"/>
        <c:auto val="1"/>
        <c:lblAlgn val="ctr"/>
        <c:lblOffset val="100"/>
        <c:noMultiLvlLbl val="0"/>
      </c:catAx>
      <c:valAx>
        <c:axId val="1268793408"/>
        <c:scaling>
          <c:orientation val="minMax"/>
          <c:max val="4"/>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7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ByGender!$C$11:$C$12</c:f>
              <c:numCache>
                <c:formatCode>0%</c:formatCode>
                <c:ptCount val="2"/>
                <c:pt idx="0">
                  <c:v>0.4</c:v>
                </c:pt>
                <c:pt idx="1">
                  <c:v>0.6</c:v>
                </c:pt>
              </c:numCache>
            </c:numRef>
          </c:val>
          <c:extLst>
            <c:ext xmlns:c16="http://schemas.microsoft.com/office/drawing/2014/chart" uri="{C3380CC4-5D6E-409C-BE32-E72D297353CC}">
              <c16:uniqueId val="{00000000-A6C9-420E-AB0F-DBA9CC653DB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DATA_Excel.xlsx]AttritionByCategories!AttritionByCategories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AttritionByCategories!$B$3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AttritionByCategories!$A$4:$A$9</c:f>
              <c:strCache>
                <c:ptCount val="5"/>
                <c:pt idx="0">
                  <c:v>Doctoral Degree</c:v>
                </c:pt>
                <c:pt idx="1">
                  <c:v>High School</c:v>
                </c:pt>
                <c:pt idx="2">
                  <c:v>Associates Degree</c:v>
                </c:pt>
                <c:pt idx="3">
                  <c:v>Master's Degree</c:v>
                </c:pt>
                <c:pt idx="4">
                  <c:v>Bachelor's Degree</c:v>
                </c:pt>
              </c:strCache>
            </c:strRef>
          </c:cat>
          <c:val>
            <c:numRef>
              <c:f>AttritionByCategories!$B$4:$B$9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D36-4108-99F7-020F6A15814F}"/>
            </c:ext>
          </c:extLst>
        </c:ser>
        <c:dLbls>
          <c:dLblPos val="outEnd"/>
          <c:showLegendKey val="0"/>
          <c:showVal val="1"/>
          <c:showCatName val="0"/>
          <c:showSerName val="0"/>
          <c:showPercent val="0"/>
          <c:showBubbleSize val="0"/>
        </c:dLbls>
        <c:gapWidth val="182"/>
        <c:axId val="1058008336"/>
        <c:axId val="1058008816"/>
      </c:barChart>
      <c:catAx>
        <c:axId val="105800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08816"/>
        <c:crosses val="autoZero"/>
        <c:auto val="1"/>
        <c:lblAlgn val="ctr"/>
        <c:lblOffset val="100"/>
        <c:noMultiLvlLbl val="0"/>
      </c:catAx>
      <c:valAx>
        <c:axId val="1058008816"/>
        <c:scaling>
          <c:orientation val="minMax"/>
        </c:scaling>
        <c:delete val="1"/>
        <c:axPos val="b"/>
        <c:numFmt formatCode="General" sourceLinked="1"/>
        <c:majorTickMark val="none"/>
        <c:minorTickMark val="none"/>
        <c:tickLblPos val="nextTo"/>
        <c:crossAx val="105800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AttritionByCategories!$C$14:$C$16</c:f>
              <c:strCache>
                <c:ptCount val="3"/>
                <c:pt idx="0">
                  <c:v>HR</c:v>
                </c:pt>
                <c:pt idx="1">
                  <c:v>R&amp;D</c:v>
                </c:pt>
                <c:pt idx="2">
                  <c:v>Sales</c:v>
                </c:pt>
              </c:strCache>
            </c:strRef>
          </c:cat>
          <c:val>
            <c:numRef>
              <c:f>AttritionByCategories!$D$14:$D$16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FD26-4436-9B79-8FAB6CC5DB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DATA_Excel.xlsx]AttritionByCategories!PivotTable10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40658955485454E-2"/>
          <c:y val="9.5408467501490762E-2"/>
          <c:w val="0.922888187872415"/>
          <c:h val="0.796074730372478"/>
        </c:manualLayout>
      </c:layout>
      <c:barChart>
        <c:barDir val="col"/>
        <c:grouping val="clustered"/>
        <c:varyColors val="0"/>
        <c:ser>
          <c:idx val="0"/>
          <c:order val="0"/>
          <c:tx>
            <c:strRef>
              <c:f>AttritionByCategories!$B$28</c:f>
              <c:strCache>
                <c:ptCount val="1"/>
                <c:pt idx="0">
                  <c:v>Total</c:v>
                </c:pt>
              </c:strCache>
            </c:strRef>
          </c:tx>
          <c:spPr>
            <a:solidFill>
              <a:schemeClr val="accent1"/>
            </a:solidFill>
            <a:ln>
              <a:noFill/>
            </a:ln>
            <a:effectLst/>
          </c:spPr>
          <c:invertIfNegative val="0"/>
          <c:cat>
            <c:strRef>
              <c:f>AttritionByCategories!$A$29:$A$34</c:f>
              <c:strCache>
                <c:ptCount val="5"/>
                <c:pt idx="0">
                  <c:v>25 - 34</c:v>
                </c:pt>
                <c:pt idx="1">
                  <c:v>35 - 44</c:v>
                </c:pt>
                <c:pt idx="2">
                  <c:v>45 - 54</c:v>
                </c:pt>
                <c:pt idx="3">
                  <c:v>Over 55</c:v>
                </c:pt>
                <c:pt idx="4">
                  <c:v>Under 25</c:v>
                </c:pt>
              </c:strCache>
            </c:strRef>
          </c:cat>
          <c:val>
            <c:numRef>
              <c:f>AttritionByCategories!$B$29:$B$34</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ECEB-454C-AA14-C9566BAAB2F8}"/>
            </c:ext>
          </c:extLst>
        </c:ser>
        <c:dLbls>
          <c:showLegendKey val="0"/>
          <c:showVal val="0"/>
          <c:showCatName val="0"/>
          <c:showSerName val="0"/>
          <c:showPercent val="0"/>
          <c:showBubbleSize val="0"/>
        </c:dLbls>
        <c:gapWidth val="219"/>
        <c:overlap val="-27"/>
        <c:axId val="1440073664"/>
        <c:axId val="1440075104"/>
      </c:barChart>
      <c:catAx>
        <c:axId val="14400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75104"/>
        <c:crosses val="autoZero"/>
        <c:auto val="1"/>
        <c:lblAlgn val="ctr"/>
        <c:lblOffset val="100"/>
        <c:noMultiLvlLbl val="0"/>
      </c:catAx>
      <c:valAx>
        <c:axId val="1440075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4007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E9-4273-B8FA-61F7596A6F24}"/>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E1E9-4273-B8FA-61F7596A6F24}"/>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E1E9-4273-B8FA-61F7596A6F24}"/>
            </c:ext>
          </c:extLst>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025371828521436E-2"/>
          <c:y val="7.407407407407407E-2"/>
          <c:w val="0.89971084864391948"/>
          <c:h val="0.8416746864975212"/>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2878-4992-8DB6-BE357ADF9005}"/>
              </c:ext>
            </c:extLst>
          </c:dPt>
          <c:val>
            <c:numRef>
              <c:f>Rating!$B$7</c:f>
              <c:numCache>
                <c:formatCode>0.0</c:formatCode>
                <c:ptCount val="1"/>
                <c:pt idx="0">
                  <c:v>2.6265306122448981</c:v>
                </c:pt>
              </c:numCache>
            </c:numRef>
          </c:val>
          <c:extLst>
            <c:ext xmlns:c16="http://schemas.microsoft.com/office/drawing/2014/chart" uri="{C3380CC4-5D6E-409C-BE32-E72D297353CC}">
              <c16:uniqueId val="{00000000-2878-4992-8DB6-BE357ADF9005}"/>
            </c:ext>
          </c:extLst>
        </c:ser>
        <c:ser>
          <c:idx val="1"/>
          <c:order val="1"/>
          <c:spPr>
            <a:solidFill>
              <a:schemeClr val="bg1">
                <a:lumMod val="95000"/>
              </a:schemeClr>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2878-4992-8DB6-BE357ADF9005}"/>
            </c:ext>
          </c:extLst>
        </c:ser>
        <c:dLbls>
          <c:showLegendKey val="0"/>
          <c:showVal val="0"/>
          <c:showCatName val="0"/>
          <c:showSerName val="0"/>
          <c:showPercent val="0"/>
          <c:showBubbleSize val="0"/>
        </c:dLbls>
        <c:gapWidth val="0"/>
        <c:overlap val="100"/>
        <c:axId val="1268792928"/>
        <c:axId val="1268793408"/>
      </c:barChart>
      <c:catAx>
        <c:axId val="1268792928"/>
        <c:scaling>
          <c:orientation val="minMax"/>
        </c:scaling>
        <c:delete val="1"/>
        <c:axPos val="l"/>
        <c:majorTickMark val="out"/>
        <c:minorTickMark val="none"/>
        <c:tickLblPos val="nextTo"/>
        <c:crossAx val="1268793408"/>
        <c:crosses val="autoZero"/>
        <c:auto val="1"/>
        <c:lblAlgn val="ctr"/>
        <c:lblOffset val="100"/>
        <c:noMultiLvlLbl val="0"/>
      </c:catAx>
      <c:valAx>
        <c:axId val="1268793408"/>
        <c:scaling>
          <c:orientation val="minMax"/>
          <c:max val="4"/>
        </c:scaling>
        <c:delete val="1"/>
        <c:axPos val="b"/>
        <c:numFmt formatCode="0.0" sourceLinked="1"/>
        <c:majorTickMark val="out"/>
        <c:minorTickMark val="none"/>
        <c:tickLblPos val="nextTo"/>
        <c:crossAx val="12687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1111111111111"/>
          <c:y val="4.6296296296296294E-2"/>
          <c:w val="0.53888888888888886"/>
          <c:h val="0.89814814814814814"/>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B9DF-4AAE-B748-61037B3C4F6E}"/>
              </c:ext>
            </c:extLst>
          </c:dPt>
          <c:dPt>
            <c:idx val="1"/>
            <c:bubble3D val="0"/>
            <c:spPr>
              <a:solidFill>
                <a:schemeClr val="bg2">
                  <a:lumMod val="85000"/>
                </a:schemeClr>
              </a:solidFill>
              <a:ln w="19050">
                <a:noFill/>
              </a:ln>
              <a:effectLst/>
            </c:spPr>
            <c:extLst>
              <c:ext xmlns:c16="http://schemas.microsoft.com/office/drawing/2014/chart" uri="{C3380CC4-5D6E-409C-BE32-E72D297353CC}">
                <c16:uniqueId val="{00000003-B9DF-4AAE-B748-61037B3C4F6E}"/>
              </c:ext>
            </c:extLst>
          </c:dPt>
          <c:val>
            <c:numRef>
              <c:f>ByGender!$C$11:$C$12</c:f>
              <c:numCache>
                <c:formatCode>0%</c:formatCode>
                <c:ptCount val="2"/>
                <c:pt idx="0">
                  <c:v>0.4</c:v>
                </c:pt>
                <c:pt idx="1">
                  <c:v>0.6</c:v>
                </c:pt>
              </c:numCache>
            </c:numRef>
          </c:val>
          <c:extLst>
            <c:ext xmlns:c16="http://schemas.microsoft.com/office/drawing/2014/chart" uri="{C3380CC4-5D6E-409C-BE32-E72D297353CC}">
              <c16:uniqueId val="{00000004-B9DF-4AAE-B748-61037B3C4F6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1111111111111"/>
          <c:y val="4.6296296296296294E-2"/>
          <c:w val="0.53888888888888886"/>
          <c:h val="0.89814814814814814"/>
        </c:manualLayout>
      </c:layout>
      <c:doughnutChart>
        <c:varyColors val="1"/>
        <c:ser>
          <c:idx val="0"/>
          <c:order val="0"/>
          <c:spPr>
            <a:ln>
              <a:noFill/>
            </a:ln>
          </c:spPr>
          <c:dPt>
            <c:idx val="0"/>
            <c:bubble3D val="0"/>
            <c:spPr>
              <a:solidFill>
                <a:schemeClr val="bg2">
                  <a:lumMod val="85000"/>
                </a:schemeClr>
              </a:solidFill>
              <a:ln w="19050">
                <a:noFill/>
              </a:ln>
              <a:effectLst/>
            </c:spPr>
            <c:extLst>
              <c:ext xmlns:c16="http://schemas.microsoft.com/office/drawing/2014/chart" uri="{C3380CC4-5D6E-409C-BE32-E72D297353CC}">
                <c16:uniqueId val="{00000001-FF0F-406D-A333-2E20703B48FD}"/>
              </c:ext>
            </c:extLst>
          </c:dPt>
          <c:dPt>
            <c:idx val="1"/>
            <c:bubble3D val="0"/>
            <c:spPr>
              <a:solidFill>
                <a:schemeClr val="accent2"/>
              </a:solidFill>
              <a:ln w="19050">
                <a:noFill/>
              </a:ln>
              <a:effectLst/>
            </c:spPr>
            <c:extLst>
              <c:ext xmlns:c16="http://schemas.microsoft.com/office/drawing/2014/chart" uri="{C3380CC4-5D6E-409C-BE32-E72D297353CC}">
                <c16:uniqueId val="{00000003-FF0F-406D-A333-2E20703B48FD}"/>
              </c:ext>
            </c:extLst>
          </c:dPt>
          <c:val>
            <c:numRef>
              <c:f>ByGender!$C$11:$C$12</c:f>
              <c:numCache>
                <c:formatCode>0%</c:formatCode>
                <c:ptCount val="2"/>
                <c:pt idx="0">
                  <c:v>0.4</c:v>
                </c:pt>
                <c:pt idx="1">
                  <c:v>0.6</c:v>
                </c:pt>
              </c:numCache>
            </c:numRef>
          </c:val>
          <c:extLst>
            <c:ext xmlns:c16="http://schemas.microsoft.com/office/drawing/2014/chart" uri="{C3380CC4-5D6E-409C-BE32-E72D297353CC}">
              <c16:uniqueId val="{00000004-FF0F-406D-A333-2E20703B48F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DATA_Excel.xlsx]AttritionByCategories!AttritionByCategories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75000"/>
                </a:schemeClr>
              </a:gs>
              <a:gs pos="66000">
                <a:schemeClr val="accent6">
                  <a:lumMod val="7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AttritionByCategories!$B$3</c:f>
              <c:strCache>
                <c:ptCount val="1"/>
                <c:pt idx="0">
                  <c:v>Total</c:v>
                </c:pt>
              </c:strCache>
            </c:strRef>
          </c:tx>
          <c:spPr>
            <a:gradFill flip="none" rotWithShape="1">
              <a:gsLst>
                <a:gs pos="0">
                  <a:schemeClr val="accent4">
                    <a:lumMod val="75000"/>
                  </a:schemeClr>
                </a:gs>
                <a:gs pos="66000">
                  <a:schemeClr val="accent6">
                    <a:lumMod val="7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AttritionByCategories!$A$4:$A$9</c:f>
              <c:strCache>
                <c:ptCount val="5"/>
                <c:pt idx="0">
                  <c:v>Doctoral Degree</c:v>
                </c:pt>
                <c:pt idx="1">
                  <c:v>High School</c:v>
                </c:pt>
                <c:pt idx="2">
                  <c:v>Associates Degree</c:v>
                </c:pt>
                <c:pt idx="3">
                  <c:v>Master's Degree</c:v>
                </c:pt>
                <c:pt idx="4">
                  <c:v>Bachelor's Degree</c:v>
                </c:pt>
              </c:strCache>
            </c:strRef>
          </c:cat>
          <c:val>
            <c:numRef>
              <c:f>AttritionByCategories!$B$4:$B$9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060-4F69-B5E4-1EB6D7A276E5}"/>
            </c:ext>
          </c:extLst>
        </c:ser>
        <c:dLbls>
          <c:dLblPos val="outEnd"/>
          <c:showLegendKey val="0"/>
          <c:showVal val="1"/>
          <c:showCatName val="0"/>
          <c:showSerName val="0"/>
          <c:showPercent val="0"/>
          <c:showBubbleSize val="0"/>
        </c:dLbls>
        <c:gapWidth val="50"/>
        <c:axId val="1058008336"/>
        <c:axId val="1058008816"/>
      </c:barChart>
      <c:catAx>
        <c:axId val="105800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08816"/>
        <c:crosses val="autoZero"/>
        <c:auto val="1"/>
        <c:lblAlgn val="ctr"/>
        <c:lblOffset val="100"/>
        <c:noMultiLvlLbl val="0"/>
      </c:catAx>
      <c:valAx>
        <c:axId val="1058008816"/>
        <c:scaling>
          <c:orientation val="minMax"/>
        </c:scaling>
        <c:delete val="1"/>
        <c:axPos val="b"/>
        <c:numFmt formatCode="General" sourceLinked="1"/>
        <c:majorTickMark val="none"/>
        <c:minorTickMark val="none"/>
        <c:tickLblPos val="nextTo"/>
        <c:crossAx val="1058008336"/>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7030A0"/>
              </a:solidFill>
              <a:ln w="19050">
                <a:solidFill>
                  <a:schemeClr val="lt1"/>
                </a:solidFill>
              </a:ln>
              <a:effectLst/>
            </c:spPr>
            <c:extLst>
              <c:ext xmlns:c16="http://schemas.microsoft.com/office/drawing/2014/chart" uri="{C3380CC4-5D6E-409C-BE32-E72D297353CC}">
                <c16:uniqueId val="{00000001-47EE-46A3-BB2B-61E358D35D83}"/>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47EE-46A3-BB2B-61E358D35D83}"/>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47EE-46A3-BB2B-61E358D35D83}"/>
              </c:ext>
            </c:extLst>
          </c:dPt>
          <c:dLbls>
            <c:dLbl>
              <c:idx val="0"/>
              <c:layout>
                <c:manualLayout>
                  <c:x val="0.14391829155060354"/>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EE-46A3-BB2B-61E358D35D83}"/>
                </c:ext>
              </c:extLst>
            </c:dLbl>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AttritionByCategories!$C$14:$C$16</c:f>
              <c:strCache>
                <c:ptCount val="3"/>
                <c:pt idx="0">
                  <c:v>HR</c:v>
                </c:pt>
                <c:pt idx="1">
                  <c:v>R&amp;D</c:v>
                </c:pt>
                <c:pt idx="2">
                  <c:v>Sales</c:v>
                </c:pt>
              </c:strCache>
            </c:strRef>
          </c:cat>
          <c:val>
            <c:numRef>
              <c:f>AttritionByCategories!$D$14:$D$16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7EE-46A3-BB2B-61E358D35D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DATA_Excel.xlsx]AttritionByCategories!PivotTable10</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75000"/>
                </a:schemeClr>
              </a:gs>
              <a:gs pos="88000">
                <a:schemeClr val="accent6">
                  <a:lumMod val="75000"/>
                </a:scheme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AttritionByCategories!$B$28</c:f>
              <c:strCache>
                <c:ptCount val="1"/>
                <c:pt idx="0">
                  <c:v>Total</c:v>
                </c:pt>
              </c:strCache>
            </c:strRef>
          </c:tx>
          <c:spPr>
            <a:gradFill>
              <a:gsLst>
                <a:gs pos="0">
                  <a:schemeClr val="accent5">
                    <a:lumMod val="75000"/>
                  </a:schemeClr>
                </a:gs>
                <a:gs pos="88000">
                  <a:schemeClr val="accent6">
                    <a:lumMod val="75000"/>
                  </a:schemeClr>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AttritionByCategories!$A$29:$A$34</c:f>
              <c:strCache>
                <c:ptCount val="5"/>
                <c:pt idx="0">
                  <c:v>25 - 34</c:v>
                </c:pt>
                <c:pt idx="1">
                  <c:v>35 - 44</c:v>
                </c:pt>
                <c:pt idx="2">
                  <c:v>45 - 54</c:v>
                </c:pt>
                <c:pt idx="3">
                  <c:v>Over 55</c:v>
                </c:pt>
                <c:pt idx="4">
                  <c:v>Under 25</c:v>
                </c:pt>
              </c:strCache>
            </c:strRef>
          </c:cat>
          <c:val>
            <c:numRef>
              <c:f>AttritionByCategories!$B$29:$B$34</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4ED2-425A-A8DC-5A68EB540CD0}"/>
            </c:ext>
          </c:extLst>
        </c:ser>
        <c:dLbls>
          <c:showLegendKey val="0"/>
          <c:showVal val="0"/>
          <c:showCatName val="0"/>
          <c:showSerName val="0"/>
          <c:showPercent val="0"/>
          <c:showBubbleSize val="0"/>
        </c:dLbls>
        <c:gapWidth val="50"/>
        <c:overlap val="-27"/>
        <c:axId val="1440073664"/>
        <c:axId val="1440075104"/>
      </c:barChart>
      <c:catAx>
        <c:axId val="14400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75104"/>
        <c:crosses val="autoZero"/>
        <c:auto val="1"/>
        <c:lblAlgn val="ctr"/>
        <c:lblOffset val="100"/>
        <c:noMultiLvlLbl val="0"/>
      </c:catAx>
      <c:valAx>
        <c:axId val="1440075104"/>
        <c:scaling>
          <c:orientation val="minMax"/>
        </c:scaling>
        <c:delete val="1"/>
        <c:axPos val="l"/>
        <c:numFmt formatCode="General" sourceLinked="1"/>
        <c:majorTickMark val="none"/>
        <c:minorTickMark val="none"/>
        <c:tickLblPos val="nextTo"/>
        <c:crossAx val="144007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343EE6F8-B5F6-47E6-95A2-1391792297FC}">
          <cx:tx>
            <cx:txData>
              <cx:f>_xlchart.v2.7</cx:f>
              <cx:v>Attrition</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61EE6DBE-4AEE-4A17-AA42-757E2AABE746}">
          <cx:tx>
            <cx:txData>
              <cx:f>_xlchart.v1.1</cx:f>
              <cx:v>Attrition Count</cx:v>
            </cx:txData>
          </cx:tx>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plotSurface>
          <cx:spPr>
            <a:noFill/>
            <a:ln>
              <a:noFill/>
            </a:ln>
          </cx:spPr>
        </cx:plotSurface>
        <cx:series layoutId="funnel" uniqueId="{343EE6F8-B5F6-47E6-95A2-1391792297FC}">
          <cx:tx>
            <cx:txData>
              <cx:f>_xlchart.v2.13</cx:f>
              <cx:v>Attrition</cx:v>
            </cx:txData>
          </cx:tx>
          <cx:spPr>
            <a:gradFill flip="none" rotWithShape="1">
              <a:gsLst>
                <a:gs pos="12000">
                  <a:schemeClr val="accent2"/>
                </a:gs>
                <a:gs pos="82000">
                  <a:schemeClr val="accent1">
                    <a:lumMod val="75000"/>
                  </a:schemeClr>
                </a:gs>
              </a:gsLst>
              <a:lin ang="2700000" scaled="1"/>
              <a:tileRect/>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61EE6DBE-4AEE-4A17-AA42-757E2AABE746}">
          <cx:tx>
            <cx:txData>
              <cx:f>_xlchart.v1.10</cx:f>
              <cx:v>Attrition Count</cx:v>
            </cx:txData>
          </cx:tx>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1.png"/><Relationship Id="rId18" Type="http://schemas.microsoft.com/office/2014/relationships/chartEx" Target="../charts/chartEx4.xml"/><Relationship Id="rId3" Type="http://schemas.openxmlformats.org/officeDocument/2006/relationships/image" Target="../media/image2.png"/><Relationship Id="rId7" Type="http://schemas.openxmlformats.org/officeDocument/2006/relationships/image" Target="../media/image7.png"/><Relationship Id="rId12" Type="http://schemas.openxmlformats.org/officeDocument/2006/relationships/image" Target="../media/image10.jpeg"/><Relationship Id="rId17" Type="http://schemas.microsoft.com/office/2014/relationships/chartEx" Target="../charts/chartEx3.xml"/><Relationship Id="rId2" Type="http://schemas.openxmlformats.org/officeDocument/2006/relationships/image" Target="../media/image9.png"/><Relationship Id="rId16" Type="http://schemas.openxmlformats.org/officeDocument/2006/relationships/chart" Target="../charts/chart13.xml"/><Relationship Id="rId1" Type="http://schemas.openxmlformats.org/officeDocument/2006/relationships/image" Target="../media/image8.png"/><Relationship Id="rId6" Type="http://schemas.openxmlformats.org/officeDocument/2006/relationships/chart" Target="../charts/chart7.xml"/><Relationship Id="rId11" Type="http://schemas.openxmlformats.org/officeDocument/2006/relationships/image" Target="../media/image6.png"/><Relationship Id="rId5" Type="http://schemas.openxmlformats.org/officeDocument/2006/relationships/image" Target="../media/image4.png"/><Relationship Id="rId15" Type="http://schemas.openxmlformats.org/officeDocument/2006/relationships/chart" Target="../charts/chart12.xml"/><Relationship Id="rId10" Type="http://schemas.openxmlformats.org/officeDocument/2006/relationships/chart" Target="../charts/chart10.xml"/><Relationship Id="rId4" Type="http://schemas.openxmlformats.org/officeDocument/2006/relationships/image" Target="../media/image3.png"/><Relationship Id="rId9" Type="http://schemas.openxmlformats.org/officeDocument/2006/relationships/chart" Target="../charts/chart9.xml"/><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9</xdr:col>
      <xdr:colOff>167640</xdr:colOff>
      <xdr:row>4</xdr:row>
      <xdr:rowOff>99061</xdr:rowOff>
    </xdr:from>
    <xdr:to>
      <xdr:col>11</xdr:col>
      <xdr:colOff>655320</xdr:colOff>
      <xdr:row>11</xdr:row>
      <xdr:rowOff>144781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3E19B281-E9F5-13A6-CE16-821781951B1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157460" y="891541"/>
              <a:ext cx="1828800" cy="143256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464820</xdr:colOff>
      <xdr:row>10</xdr:row>
      <xdr:rowOff>182880</xdr:rowOff>
    </xdr:from>
    <xdr:to>
      <xdr:col>12</xdr:col>
      <xdr:colOff>186690</xdr:colOff>
      <xdr:row>19</xdr:row>
      <xdr:rowOff>110490</xdr:rowOff>
    </xdr:to>
    <xdr:graphicFrame macro="">
      <xdr:nvGraphicFramePr>
        <xdr:cNvPr id="2" name="Chart 1">
          <a:extLst>
            <a:ext uri="{FF2B5EF4-FFF2-40B4-BE49-F238E27FC236}">
              <a16:creationId xmlns:a16="http://schemas.microsoft.com/office/drawing/2014/main" id="{DB3F2D7C-81C3-30E7-76FA-0D5E720DC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45720</xdr:colOff>
      <xdr:row>3</xdr:row>
      <xdr:rowOff>152401</xdr:rowOff>
    </xdr:from>
    <xdr:to>
      <xdr:col>7</xdr:col>
      <xdr:colOff>533400</xdr:colOff>
      <xdr:row>9</xdr:row>
      <xdr:rowOff>22861</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ADF2AD8A-B398-64E8-FCFC-BF2B033D9DC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526280" y="746761"/>
              <a:ext cx="1828800" cy="105918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1047750</xdr:colOff>
      <xdr:row>10</xdr:row>
      <xdr:rowOff>41910</xdr:rowOff>
    </xdr:from>
    <xdr:to>
      <xdr:col>6</xdr:col>
      <xdr:colOff>468630</xdr:colOff>
      <xdr:row>24</xdr:row>
      <xdr:rowOff>11430</xdr:rowOff>
    </xdr:to>
    <xdr:graphicFrame macro="">
      <xdr:nvGraphicFramePr>
        <xdr:cNvPr id="5" name="Chart 4">
          <a:extLst>
            <a:ext uri="{FF2B5EF4-FFF2-40B4-BE49-F238E27FC236}">
              <a16:creationId xmlns:a16="http://schemas.microsoft.com/office/drawing/2014/main" id="{AC2CD921-D18A-1D16-8DAA-266777EBD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274320</xdr:colOff>
      <xdr:row>6</xdr:row>
      <xdr:rowOff>99060</xdr:rowOff>
    </xdr:from>
    <xdr:to>
      <xdr:col>8</xdr:col>
      <xdr:colOff>91440</xdr:colOff>
      <xdr:row>20</xdr:row>
      <xdr:rowOff>20955</xdr:rowOff>
    </xdr:to>
    <mc:AlternateContent xmlns:mc="http://schemas.openxmlformats.org/markup-compatibility/2006">
      <mc:Choice xmlns:a14="http://schemas.microsoft.com/office/drawing/2010/main" Requires="a14">
        <xdr:graphicFrame macro="">
          <xdr:nvGraphicFramePr>
            <xdr:cNvPr id="7" name="Education Field">
              <a:extLst>
                <a:ext uri="{FF2B5EF4-FFF2-40B4-BE49-F238E27FC236}">
                  <a16:creationId xmlns:a16="http://schemas.microsoft.com/office/drawing/2014/main" id="{1F70035C-5452-CF39-E82A-925E303E2AB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4754880" y="1287780"/>
              <a:ext cx="1828800" cy="26955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594360</xdr:colOff>
      <xdr:row>5</xdr:row>
      <xdr:rowOff>106680</xdr:rowOff>
    </xdr:from>
    <xdr:to>
      <xdr:col>11</xdr:col>
      <xdr:colOff>411480</xdr:colOff>
      <xdr:row>19</xdr:row>
      <xdr:rowOff>28575</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7288B91F-A7AE-926D-D606-AD6369A7E86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7284720" y="1097280"/>
              <a:ext cx="1828800" cy="26955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4</xdr:row>
      <xdr:rowOff>182881</xdr:rowOff>
    </xdr:from>
    <xdr:to>
      <xdr:col>12</xdr:col>
      <xdr:colOff>350520</xdr:colOff>
      <xdr:row>10</xdr:row>
      <xdr:rowOff>45720</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6FFC9C2C-3DB8-9CF5-CDFF-3E71143AF3A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7894320" y="975361"/>
              <a:ext cx="1828800" cy="105155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575310</xdr:colOff>
      <xdr:row>5</xdr:row>
      <xdr:rowOff>140970</xdr:rowOff>
    </xdr:from>
    <xdr:to>
      <xdr:col>9</xdr:col>
      <xdr:colOff>453390</xdr:colOff>
      <xdr:row>19</xdr:row>
      <xdr:rowOff>110490</xdr:rowOff>
    </xdr:to>
    <xdr:graphicFrame macro="">
      <xdr:nvGraphicFramePr>
        <xdr:cNvPr id="4" name="Chart 3">
          <a:extLst>
            <a:ext uri="{FF2B5EF4-FFF2-40B4-BE49-F238E27FC236}">
              <a16:creationId xmlns:a16="http://schemas.microsoft.com/office/drawing/2014/main" id="{A7C07299-3D38-AD4B-2DC3-4F3FAFC32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358140</xdr:colOff>
      <xdr:row>0</xdr:row>
      <xdr:rowOff>38100</xdr:rowOff>
    </xdr:from>
    <xdr:to>
      <xdr:col>10</xdr:col>
      <xdr:colOff>186690</xdr:colOff>
      <xdr:row>9</xdr:row>
      <xdr:rowOff>133350</xdr:rowOff>
    </xdr:to>
    <xdr:graphicFrame macro="">
      <xdr:nvGraphicFramePr>
        <xdr:cNvPr id="2" name="Chart 1">
          <a:extLst>
            <a:ext uri="{FF2B5EF4-FFF2-40B4-BE49-F238E27FC236}">
              <a16:creationId xmlns:a16="http://schemas.microsoft.com/office/drawing/2014/main" id="{427A65E6-A007-C3BF-05A2-A28FC87C5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198120</xdr:colOff>
      <xdr:row>11</xdr:row>
      <xdr:rowOff>167640</xdr:rowOff>
    </xdr:from>
    <xdr:to>
      <xdr:col>11</xdr:col>
      <xdr:colOff>194310</xdr:colOff>
      <xdr:row>21</xdr:row>
      <xdr:rowOff>171450</xdr:rowOff>
    </xdr:to>
    <xdr:graphicFrame macro="">
      <xdr:nvGraphicFramePr>
        <xdr:cNvPr id="5" name="Chart 4">
          <a:extLst>
            <a:ext uri="{FF2B5EF4-FFF2-40B4-BE49-F238E27FC236}">
              <a16:creationId xmlns:a16="http://schemas.microsoft.com/office/drawing/2014/main" id="{57C71DD2-0709-FB61-AE6F-A87132F04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662940</xdr:colOff>
      <xdr:row>24</xdr:row>
      <xdr:rowOff>0</xdr:rowOff>
    </xdr:from>
    <xdr:to>
      <xdr:col>10</xdr:col>
      <xdr:colOff>262890</xdr:colOff>
      <xdr:row>34</xdr:row>
      <xdr:rowOff>148590</xdr:rowOff>
    </xdr:to>
    <xdr:graphicFrame macro="">
      <xdr:nvGraphicFramePr>
        <xdr:cNvPr id="8" name="Chart 7">
          <a:extLst>
            <a:ext uri="{FF2B5EF4-FFF2-40B4-BE49-F238E27FC236}">
              <a16:creationId xmlns:a16="http://schemas.microsoft.com/office/drawing/2014/main" id="{19674428-D6D2-3FC2-E61D-C88373245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426720</xdr:colOff>
      <xdr:row>38</xdr:row>
      <xdr:rowOff>99060</xdr:rowOff>
    </xdr:from>
    <xdr:to>
      <xdr:col>11</xdr:col>
      <xdr:colOff>259080</xdr:colOff>
      <xdr:row>47</xdr:row>
      <xdr:rowOff>118110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E135AB01-0A8A-A2A8-AD9F-5E770AFD96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492240" y="7627620"/>
              <a:ext cx="3185160" cy="180213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1908810</xdr:colOff>
      <xdr:row>50</xdr:row>
      <xdr:rowOff>110490</xdr:rowOff>
    </xdr:from>
    <xdr:to>
      <xdr:col>10</xdr:col>
      <xdr:colOff>57150</xdr:colOff>
      <xdr:row>64</xdr:row>
      <xdr:rowOff>80010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03911023-9437-C8C9-252D-DDA6857801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092190" y="10016490"/>
              <a:ext cx="4572000" cy="27432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1165860</xdr:colOff>
      <xdr:row>53</xdr:row>
      <xdr:rowOff>83820</xdr:rowOff>
    </xdr:from>
    <xdr:to>
      <xdr:col>3</xdr:col>
      <xdr:colOff>586740</xdr:colOff>
      <xdr:row>67</xdr:row>
      <xdr:rowOff>5715</xdr:rowOff>
    </xdr:to>
    <mc:AlternateContent xmlns:mc="http://schemas.openxmlformats.org/markup-compatibility/2006">
      <mc:Choice xmlns:a14="http://schemas.microsoft.com/office/drawing/2010/main" Requires="a14">
        <xdr:graphicFrame macro="">
          <xdr:nvGraphicFramePr>
            <xdr:cNvPr id="13" name="Education Field 2">
              <a:extLst>
                <a:ext uri="{FF2B5EF4-FFF2-40B4-BE49-F238E27FC236}">
                  <a16:creationId xmlns:a16="http://schemas.microsoft.com/office/drawing/2014/main" id="{6E98D091-F66E-C435-A6DB-2A4A4F3126C2}"/>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2095500" y="10584180"/>
              <a:ext cx="1828800" cy="26955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449580</xdr:colOff>
      <xdr:row>51</xdr:row>
      <xdr:rowOff>91440</xdr:rowOff>
    </xdr:from>
    <xdr:to>
      <xdr:col>4</xdr:col>
      <xdr:colOff>167640</xdr:colOff>
      <xdr:row>65</xdr:row>
      <xdr:rowOff>13335</xdr:rowOff>
    </xdr:to>
    <mc:AlternateContent xmlns:mc="http://schemas.openxmlformats.org/markup-compatibility/2006">
      <mc:Choice xmlns:a14="http://schemas.microsoft.com/office/drawing/2010/main" Requires="a14">
        <xdr:graphicFrame macro="">
          <xdr:nvGraphicFramePr>
            <xdr:cNvPr id="14" name="Department">
              <a:extLst>
                <a:ext uri="{FF2B5EF4-FFF2-40B4-BE49-F238E27FC236}">
                  <a16:creationId xmlns:a16="http://schemas.microsoft.com/office/drawing/2014/main" id="{9D40D34A-259E-F7B8-E807-008DDA26C2E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787140" y="10195560"/>
              <a:ext cx="1828800" cy="26955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3</xdr:col>
      <xdr:colOff>101938</xdr:colOff>
      <xdr:row>0</xdr:row>
      <xdr:rowOff>129904</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2074787" y="129904"/>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319319" cy="998848"/>
              <a:chOff x="1846116" y="1215714"/>
              <a:chExt cx="1343387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1" name="Shape 60">
                <a:extLst>
                  <a:ext uri="{FF2B5EF4-FFF2-40B4-BE49-F238E27FC236}">
                    <a16:creationId xmlns:a16="http://schemas.microsoft.com/office/drawing/2014/main" id="{2D30D35E-E944-960D-A77B-190A0F1C00A0}"/>
                  </a:ext>
                </a:extLst>
              </xdr:cNvPr>
              <xdr:cNvSpPr/>
            </xdr:nvSpPr>
            <xdr:spPr>
              <a:xfrm>
                <a:off x="1876585"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2" name="Shape 61">
                <a:extLst>
                  <a:ext uri="{FF2B5EF4-FFF2-40B4-BE49-F238E27FC236}">
                    <a16:creationId xmlns:a16="http://schemas.microsoft.com/office/drawing/2014/main" id="{A6B9F677-9C5D-7446-1760-9C1890063BEF}"/>
                  </a:ext>
                </a:extLst>
              </xdr:cNvPr>
              <xdr:cNvSpPr/>
            </xdr:nvSpPr>
            <xdr:spPr>
              <a:xfrm>
                <a:off x="4576923"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3" name="Shape 62">
                <a:extLst>
                  <a:ext uri="{FF2B5EF4-FFF2-40B4-BE49-F238E27FC236}">
                    <a16:creationId xmlns:a16="http://schemas.microsoft.com/office/drawing/2014/main" id="{69CC151B-FBBB-770A-C619-07C5631AFA33}"/>
                  </a:ext>
                </a:extLst>
              </xdr:cNvPr>
              <xdr:cNvSpPr/>
            </xdr:nvSpPr>
            <xdr:spPr>
              <a:xfrm>
                <a:off x="7277262"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4" name="Shape 63">
                <a:extLst>
                  <a:ext uri="{FF2B5EF4-FFF2-40B4-BE49-F238E27FC236}">
                    <a16:creationId xmlns:a16="http://schemas.microsoft.com/office/drawing/2014/main" id="{3936F1F9-49E0-3780-2040-4A4E6D0F7A74}"/>
                  </a:ext>
                </a:extLst>
              </xdr:cNvPr>
              <xdr:cNvSpPr/>
            </xdr:nvSpPr>
            <xdr:spPr>
              <a:xfrm>
                <a:off x="9977599"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64">
                <a:extLst>
                  <a:ext uri="{FF2B5EF4-FFF2-40B4-BE49-F238E27FC236}">
                    <a16:creationId xmlns:a16="http://schemas.microsoft.com/office/drawing/2014/main" id="{17F06EBE-7339-740E-C94F-79115005435C}"/>
                  </a:ext>
                </a:extLst>
              </xdr:cNvPr>
              <xdr:cNvSpPr/>
            </xdr:nvSpPr>
            <xdr:spPr>
              <a:xfrm>
                <a:off x="12677937"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56">
              <a:extLst>
                <a:ext uri="{FF2B5EF4-FFF2-40B4-BE49-F238E27FC236}">
                  <a16:creationId xmlns:a16="http://schemas.microsoft.com/office/drawing/2014/main" id="{DEE932F5-3C71-4821-6DCC-15D041EEF369}"/>
                </a:ext>
              </a:extLst>
            </xdr:cNvPr>
            <xdr:cNvSpPr/>
          </xdr:nvSpPr>
          <xdr:spPr>
            <a:xfrm>
              <a:off x="1882659" y="270899"/>
              <a:ext cx="7691601" cy="834001"/>
            </a:xfrm>
            <a:prstGeom prst="roundRect">
              <a:avLst>
                <a:gd name="adj" fmla="val 10000"/>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20" name="Shape 57">
              <a:extLst>
                <a:ext uri="{FF2B5EF4-FFF2-40B4-BE49-F238E27FC236}">
                  <a16:creationId xmlns:a16="http://schemas.microsoft.com/office/drawing/2014/main" id="{2B17CE34-ECEF-8E5B-D8A6-8D1E499C4472}"/>
                </a:ext>
              </a:extLst>
            </xdr:cNvPr>
            <xdr:cNvSpPr/>
          </xdr:nvSpPr>
          <xdr:spPr>
            <a:xfrm>
              <a:off x="9688559" y="270899"/>
              <a:ext cx="5467351" cy="834001"/>
            </a:xfrm>
            <a:prstGeom prst="roundRect">
              <a:avLst>
                <a:gd name="adj" fmla="val 10000"/>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71">
              <a:extLst>
                <a:ext uri="{FF2B5EF4-FFF2-40B4-BE49-F238E27FC236}">
                  <a16:creationId xmlns:a16="http://schemas.microsoft.com/office/drawing/2014/main" id="{5207F293-1E47-3CA9-1A94-F338F2590781}"/>
                </a:ext>
              </a:extLst>
            </xdr:cNvPr>
            <xdr:cNvSpPr/>
          </xdr:nvSpPr>
          <xdr:spPr>
            <a:xfrm>
              <a:off x="1877354" y="2314575"/>
              <a:ext cx="3867930" cy="2754668"/>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3</xdr:col>
      <xdr:colOff>182879</xdr:colOff>
      <xdr:row>5</xdr:row>
      <xdr:rowOff>180124</xdr:rowOff>
    </xdr:from>
    <xdr:to>
      <xdr:col>5</xdr:col>
      <xdr:colOff>321174</xdr:colOff>
      <xdr:row>7</xdr:row>
      <xdr:rowOff>46369</xdr:rowOff>
    </xdr:to>
    <xdr:sp macro="" textlink="">
      <xdr:nvSpPr>
        <xdr:cNvPr id="3" name="TextBox 2">
          <a:extLst>
            <a:ext uri="{FF2B5EF4-FFF2-40B4-BE49-F238E27FC236}">
              <a16:creationId xmlns:a16="http://schemas.microsoft.com/office/drawing/2014/main" id="{F44E132C-30C4-D712-2DB6-FA9232292F4D}"/>
            </a:ext>
          </a:extLst>
        </xdr:cNvPr>
        <xdr:cNvSpPr txBox="1"/>
      </xdr:nvSpPr>
      <xdr:spPr>
        <a:xfrm>
          <a:off x="2148839" y="1132624"/>
          <a:ext cx="1448935"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Total</a:t>
          </a:r>
          <a:r>
            <a:rPr lang="en-AU" sz="1400" b="1" baseline="0">
              <a:solidFill>
                <a:schemeClr val="accent2">
                  <a:lumMod val="75000"/>
                </a:schemeClr>
              </a:solidFill>
              <a:latin typeface="+mj-lt"/>
            </a:rPr>
            <a:t> Employees</a:t>
          </a:r>
          <a:endParaRPr lang="en-AU" sz="1400" b="1">
            <a:solidFill>
              <a:schemeClr val="accent2">
                <a:lumMod val="75000"/>
              </a:schemeClr>
            </a:solidFill>
            <a:latin typeface="+mj-lt"/>
          </a:endParaRPr>
        </a:p>
      </xdr:txBody>
    </xdr:sp>
    <xdr:clientData/>
  </xdr:twoCellAnchor>
  <xdr:twoCellAnchor>
    <xdr:from>
      <xdr:col>3</xdr:col>
      <xdr:colOff>236220</xdr:colOff>
      <xdr:row>7</xdr:row>
      <xdr:rowOff>114300</xdr:rowOff>
    </xdr:from>
    <xdr:to>
      <xdr:col>5</xdr:col>
      <xdr:colOff>609600</xdr:colOff>
      <xdr:row>9</xdr:row>
      <xdr:rowOff>152400</xdr:rowOff>
    </xdr:to>
    <xdr:sp macro="" textlink="KPI!A8">
      <xdr:nvSpPr>
        <xdr:cNvPr id="5" name="TextBox 4">
          <a:extLst>
            <a:ext uri="{FF2B5EF4-FFF2-40B4-BE49-F238E27FC236}">
              <a16:creationId xmlns:a16="http://schemas.microsoft.com/office/drawing/2014/main" id="{C763BFF5-DD42-7CBA-5F29-C00447DD4437}"/>
            </a:ext>
          </a:extLst>
        </xdr:cNvPr>
        <xdr:cNvSpPr txBox="1"/>
      </xdr:nvSpPr>
      <xdr:spPr>
        <a:xfrm>
          <a:off x="2202180" y="1447800"/>
          <a:ext cx="16840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D6882BE-FE07-4100-A603-B3D4E3AF5F68}" type="TxLink">
            <a:rPr lang="en-US" sz="2800" b="1" i="0" u="none" strike="noStrike">
              <a:solidFill>
                <a:schemeClr val="accent1">
                  <a:lumMod val="50000"/>
                </a:schemeClr>
              </a:solidFill>
              <a:latin typeface="Calibri"/>
              <a:ea typeface="Calibri"/>
              <a:cs typeface="Calibri"/>
            </a:rPr>
            <a:pPr marL="0" indent="0" algn="ctr"/>
            <a:t>1470</a:t>
          </a:fld>
          <a:endParaRPr lang="en-AU" sz="2800" b="1" i="0" u="none" strike="noStrike">
            <a:solidFill>
              <a:schemeClr val="accent1">
                <a:lumMod val="50000"/>
              </a:schemeClr>
            </a:solidFill>
            <a:latin typeface="Calibri"/>
            <a:ea typeface="Calibri"/>
            <a:cs typeface="Calibri"/>
          </a:endParaRPr>
        </a:p>
      </xdr:txBody>
    </xdr:sp>
    <xdr:clientData/>
  </xdr:twoCellAnchor>
  <xdr:twoCellAnchor>
    <xdr:from>
      <xdr:col>9</xdr:col>
      <xdr:colOff>373380</xdr:colOff>
      <xdr:row>7</xdr:row>
      <xdr:rowOff>91440</xdr:rowOff>
    </xdr:from>
    <xdr:to>
      <xdr:col>12</xdr:col>
      <xdr:colOff>91440</xdr:colOff>
      <xdr:row>9</xdr:row>
      <xdr:rowOff>129540</xdr:rowOff>
    </xdr:to>
    <xdr:sp macro="" textlink="KPI!C8">
      <xdr:nvSpPr>
        <xdr:cNvPr id="6" name="TextBox 5">
          <a:extLst>
            <a:ext uri="{FF2B5EF4-FFF2-40B4-BE49-F238E27FC236}">
              <a16:creationId xmlns:a16="http://schemas.microsoft.com/office/drawing/2014/main" id="{A4DD4BEB-454F-472B-8A83-AA2A52A22654}"/>
            </a:ext>
          </a:extLst>
        </xdr:cNvPr>
        <xdr:cNvSpPr txBox="1"/>
      </xdr:nvSpPr>
      <xdr:spPr>
        <a:xfrm>
          <a:off x="6271260" y="1424940"/>
          <a:ext cx="16840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1A6E9F0-C055-4AEB-834A-2C18673BBC85}" type="TxLink">
            <a:rPr lang="en-US" sz="2800" b="1" i="0" u="none" strike="noStrike">
              <a:solidFill>
                <a:schemeClr val="accent1">
                  <a:lumMod val="50000"/>
                </a:schemeClr>
              </a:solidFill>
              <a:latin typeface="Calibri"/>
              <a:ea typeface="Calibri"/>
              <a:cs typeface="Calibri"/>
            </a:rPr>
            <a:pPr marL="0" indent="0" algn="ctr"/>
            <a:t>37</a:t>
          </a:fld>
          <a:endParaRPr lang="en-AU" sz="2800" b="1" i="0" u="none" strike="noStrike">
            <a:solidFill>
              <a:schemeClr val="accent1">
                <a:lumMod val="50000"/>
              </a:schemeClr>
            </a:solidFill>
            <a:latin typeface="Calibri"/>
            <a:ea typeface="Calibri"/>
            <a:cs typeface="Calibri"/>
          </a:endParaRPr>
        </a:p>
      </xdr:txBody>
    </xdr:sp>
    <xdr:clientData/>
  </xdr:twoCellAnchor>
  <xdr:twoCellAnchor>
    <xdr:from>
      <xdr:col>6</xdr:col>
      <xdr:colOff>281940</xdr:colOff>
      <xdr:row>7</xdr:row>
      <xdr:rowOff>83820</xdr:rowOff>
    </xdr:from>
    <xdr:to>
      <xdr:col>9</xdr:col>
      <xdr:colOff>0</xdr:colOff>
      <xdr:row>9</xdr:row>
      <xdr:rowOff>121920</xdr:rowOff>
    </xdr:to>
    <xdr:sp macro="" textlink="KPI!B8">
      <xdr:nvSpPr>
        <xdr:cNvPr id="7" name="TextBox 6">
          <a:extLst>
            <a:ext uri="{FF2B5EF4-FFF2-40B4-BE49-F238E27FC236}">
              <a16:creationId xmlns:a16="http://schemas.microsoft.com/office/drawing/2014/main" id="{4B041E4E-DC87-42AC-821E-8C6160AB18BF}"/>
            </a:ext>
          </a:extLst>
        </xdr:cNvPr>
        <xdr:cNvSpPr txBox="1"/>
      </xdr:nvSpPr>
      <xdr:spPr>
        <a:xfrm>
          <a:off x="4213860" y="1417320"/>
          <a:ext cx="16840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9A14254-31C7-4D06-8460-4E59D8834716}" type="TxLink">
            <a:rPr lang="en-US" sz="2800" b="1" i="0" u="none" strike="noStrike">
              <a:solidFill>
                <a:schemeClr val="accent1">
                  <a:lumMod val="50000"/>
                </a:schemeClr>
              </a:solidFill>
              <a:latin typeface="Calibri"/>
              <a:ea typeface="Calibri"/>
              <a:cs typeface="Calibri"/>
            </a:rPr>
            <a:pPr marL="0" indent="0" algn="ctr"/>
            <a:t>237</a:t>
          </a:fld>
          <a:endParaRPr lang="en-AU" sz="2800" b="1" i="0" u="none" strike="noStrike">
            <a:solidFill>
              <a:schemeClr val="accent1">
                <a:lumMod val="50000"/>
              </a:schemeClr>
            </a:solidFill>
            <a:latin typeface="Calibri"/>
            <a:ea typeface="Calibri"/>
            <a:cs typeface="Calibri"/>
          </a:endParaRPr>
        </a:p>
      </xdr:txBody>
    </xdr:sp>
    <xdr:clientData/>
  </xdr:twoCellAnchor>
  <xdr:twoCellAnchor>
    <xdr:from>
      <xdr:col>12</xdr:col>
      <xdr:colOff>426720</xdr:colOff>
      <xdr:row>7</xdr:row>
      <xdr:rowOff>99060</xdr:rowOff>
    </xdr:from>
    <xdr:to>
      <xdr:col>15</xdr:col>
      <xdr:colOff>144780</xdr:colOff>
      <xdr:row>9</xdr:row>
      <xdr:rowOff>137160</xdr:rowOff>
    </xdr:to>
    <xdr:sp macro="" textlink="KPI!D8">
      <xdr:nvSpPr>
        <xdr:cNvPr id="8" name="TextBox 7">
          <a:extLst>
            <a:ext uri="{FF2B5EF4-FFF2-40B4-BE49-F238E27FC236}">
              <a16:creationId xmlns:a16="http://schemas.microsoft.com/office/drawing/2014/main" id="{610852D5-409C-47ED-95B2-F1BA50F686FD}"/>
            </a:ext>
          </a:extLst>
        </xdr:cNvPr>
        <xdr:cNvSpPr txBox="1"/>
      </xdr:nvSpPr>
      <xdr:spPr>
        <a:xfrm>
          <a:off x="8290560" y="1432560"/>
          <a:ext cx="16840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6A16FB9-F6CB-41FF-899F-E5A19C46EAAB}" type="TxLink">
            <a:rPr lang="en-US" sz="2800" b="1" i="0" u="none" strike="noStrike">
              <a:solidFill>
                <a:schemeClr val="accent1">
                  <a:lumMod val="50000"/>
                </a:schemeClr>
              </a:solidFill>
              <a:latin typeface="Calibri"/>
              <a:ea typeface="Calibri"/>
              <a:cs typeface="Calibri"/>
            </a:rPr>
            <a:pPr marL="0" indent="0" algn="ctr"/>
            <a:t>1233</a:t>
          </a:fld>
          <a:endParaRPr lang="en-AU" sz="2800" b="1" i="0" u="none" strike="noStrike">
            <a:solidFill>
              <a:schemeClr val="accent1">
                <a:lumMod val="50000"/>
              </a:schemeClr>
            </a:solidFill>
            <a:latin typeface="Calibri"/>
            <a:ea typeface="Calibri"/>
            <a:cs typeface="Calibri"/>
          </a:endParaRPr>
        </a:p>
      </xdr:txBody>
    </xdr:sp>
    <xdr:clientData/>
  </xdr:twoCellAnchor>
  <xdr:twoCellAnchor>
    <xdr:from>
      <xdr:col>15</xdr:col>
      <xdr:colOff>396240</xdr:colOff>
      <xdr:row>7</xdr:row>
      <xdr:rowOff>83820</xdr:rowOff>
    </xdr:from>
    <xdr:to>
      <xdr:col>18</xdr:col>
      <xdr:colOff>114300</xdr:colOff>
      <xdr:row>9</xdr:row>
      <xdr:rowOff>121920</xdr:rowOff>
    </xdr:to>
    <xdr:sp macro="" textlink="KPI!E8">
      <xdr:nvSpPr>
        <xdr:cNvPr id="9" name="TextBox 8">
          <a:extLst>
            <a:ext uri="{FF2B5EF4-FFF2-40B4-BE49-F238E27FC236}">
              <a16:creationId xmlns:a16="http://schemas.microsoft.com/office/drawing/2014/main" id="{3BC93D7B-D557-4CA8-9672-C3EDA6865F5E}"/>
            </a:ext>
          </a:extLst>
        </xdr:cNvPr>
        <xdr:cNvSpPr txBox="1"/>
      </xdr:nvSpPr>
      <xdr:spPr>
        <a:xfrm>
          <a:off x="10226040" y="1417320"/>
          <a:ext cx="16840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B836AEB-4482-4D8E-9B1F-804EDD325905}" type="TxLink">
            <a:rPr lang="en-US" sz="2800" b="1" i="0" u="none" strike="noStrike">
              <a:solidFill>
                <a:schemeClr val="accent1">
                  <a:lumMod val="50000"/>
                </a:schemeClr>
              </a:solidFill>
              <a:latin typeface="Calibri"/>
              <a:ea typeface="Calibri"/>
              <a:cs typeface="Calibri"/>
            </a:rPr>
            <a:pPr marL="0" indent="0" algn="ctr"/>
            <a:t>16.12%</a:t>
          </a:fld>
          <a:endParaRPr lang="en-AU" sz="2800" b="1" i="0" u="none" strike="noStrike">
            <a:solidFill>
              <a:schemeClr val="accent1">
                <a:lumMod val="50000"/>
              </a:schemeClr>
            </a:solidFill>
            <a:latin typeface="Calibri"/>
            <a:ea typeface="Calibri"/>
            <a:cs typeface="Calibri"/>
          </a:endParaRPr>
        </a:p>
      </xdr:txBody>
    </xdr:sp>
    <xdr:clientData/>
  </xdr:twoCellAnchor>
  <xdr:twoCellAnchor>
    <xdr:from>
      <xdr:col>7</xdr:col>
      <xdr:colOff>57555</xdr:colOff>
      <xdr:row>5</xdr:row>
      <xdr:rowOff>187744</xdr:rowOff>
    </xdr:from>
    <xdr:to>
      <xdr:col>9</xdr:col>
      <xdr:colOff>260215</xdr:colOff>
      <xdr:row>7</xdr:row>
      <xdr:rowOff>53989</xdr:rowOff>
    </xdr:to>
    <xdr:sp macro="" textlink="">
      <xdr:nvSpPr>
        <xdr:cNvPr id="10" name="TextBox 9">
          <a:extLst>
            <a:ext uri="{FF2B5EF4-FFF2-40B4-BE49-F238E27FC236}">
              <a16:creationId xmlns:a16="http://schemas.microsoft.com/office/drawing/2014/main" id="{8968FD24-2C90-48B4-A4D3-889ED0901E61}"/>
            </a:ext>
          </a:extLst>
        </xdr:cNvPr>
        <xdr:cNvSpPr txBox="1"/>
      </xdr:nvSpPr>
      <xdr:spPr>
        <a:xfrm>
          <a:off x="4644795" y="1140244"/>
          <a:ext cx="1513300"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Attrition	</a:t>
          </a:r>
        </a:p>
      </xdr:txBody>
    </xdr:sp>
    <xdr:clientData/>
  </xdr:twoCellAnchor>
  <xdr:twoCellAnchor>
    <xdr:from>
      <xdr:col>9</xdr:col>
      <xdr:colOff>225195</xdr:colOff>
      <xdr:row>6</xdr:row>
      <xdr:rowOff>12484</xdr:rowOff>
    </xdr:from>
    <xdr:to>
      <xdr:col>11</xdr:col>
      <xdr:colOff>427855</xdr:colOff>
      <xdr:row>7</xdr:row>
      <xdr:rowOff>69229</xdr:rowOff>
    </xdr:to>
    <xdr:sp macro="" textlink="">
      <xdr:nvSpPr>
        <xdr:cNvPr id="11" name="TextBox 10">
          <a:extLst>
            <a:ext uri="{FF2B5EF4-FFF2-40B4-BE49-F238E27FC236}">
              <a16:creationId xmlns:a16="http://schemas.microsoft.com/office/drawing/2014/main" id="{714E2898-39BD-4C21-8A1F-834AB774CFF4}"/>
            </a:ext>
          </a:extLst>
        </xdr:cNvPr>
        <xdr:cNvSpPr txBox="1"/>
      </xdr:nvSpPr>
      <xdr:spPr>
        <a:xfrm>
          <a:off x="6123075" y="1155484"/>
          <a:ext cx="1513300"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Active Employees	</a:t>
          </a:r>
        </a:p>
      </xdr:txBody>
    </xdr:sp>
    <xdr:clientData/>
  </xdr:twoCellAnchor>
  <xdr:twoCellAnchor>
    <xdr:from>
      <xdr:col>12</xdr:col>
      <xdr:colOff>529995</xdr:colOff>
      <xdr:row>6</xdr:row>
      <xdr:rowOff>42964</xdr:rowOff>
    </xdr:from>
    <xdr:to>
      <xdr:col>15</xdr:col>
      <xdr:colOff>77335</xdr:colOff>
      <xdr:row>7</xdr:row>
      <xdr:rowOff>99709</xdr:rowOff>
    </xdr:to>
    <xdr:sp macro="" textlink="">
      <xdr:nvSpPr>
        <xdr:cNvPr id="12" name="TextBox 11">
          <a:extLst>
            <a:ext uri="{FF2B5EF4-FFF2-40B4-BE49-F238E27FC236}">
              <a16:creationId xmlns:a16="http://schemas.microsoft.com/office/drawing/2014/main" id="{7523EDA2-1758-48A5-B1FE-7D029C46368C}"/>
            </a:ext>
          </a:extLst>
        </xdr:cNvPr>
        <xdr:cNvSpPr txBox="1"/>
      </xdr:nvSpPr>
      <xdr:spPr>
        <a:xfrm>
          <a:off x="8393835" y="1185964"/>
          <a:ext cx="1513300"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Attrition Rate</a:t>
          </a:r>
        </a:p>
      </xdr:txBody>
    </xdr:sp>
    <xdr:clientData/>
  </xdr:twoCellAnchor>
  <xdr:twoCellAnchor>
    <xdr:from>
      <xdr:col>15</xdr:col>
      <xdr:colOff>575715</xdr:colOff>
      <xdr:row>6</xdr:row>
      <xdr:rowOff>12484</xdr:rowOff>
    </xdr:from>
    <xdr:to>
      <xdr:col>18</xdr:col>
      <xdr:colOff>123055</xdr:colOff>
      <xdr:row>7</xdr:row>
      <xdr:rowOff>69229</xdr:rowOff>
    </xdr:to>
    <xdr:sp macro="" textlink="">
      <xdr:nvSpPr>
        <xdr:cNvPr id="13" name="TextBox 12">
          <a:extLst>
            <a:ext uri="{FF2B5EF4-FFF2-40B4-BE49-F238E27FC236}">
              <a16:creationId xmlns:a16="http://schemas.microsoft.com/office/drawing/2014/main" id="{F972C30D-80D5-4E40-B7F3-244FFF5F358D}"/>
            </a:ext>
          </a:extLst>
        </xdr:cNvPr>
        <xdr:cNvSpPr txBox="1"/>
      </xdr:nvSpPr>
      <xdr:spPr>
        <a:xfrm>
          <a:off x="10405515" y="1155484"/>
          <a:ext cx="1513300"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Average Age</a:t>
          </a:r>
        </a:p>
      </xdr:txBody>
    </xdr:sp>
    <xdr:clientData/>
  </xdr:twoCellAnchor>
  <xdr:oneCellAnchor>
    <xdr:from>
      <xdr:col>5</xdr:col>
      <xdr:colOff>362355</xdr:colOff>
      <xdr:row>5</xdr:row>
      <xdr:rowOff>172504</xdr:rowOff>
    </xdr:from>
    <xdr:ext cx="333375" cy="314325"/>
    <xdr:pic>
      <xdr:nvPicPr>
        <xdr:cNvPr id="14" name="image4.png">
          <a:extLst>
            <a:ext uri="{FF2B5EF4-FFF2-40B4-BE49-F238E27FC236}">
              <a16:creationId xmlns:a16="http://schemas.microsoft.com/office/drawing/2014/main" id="{40B87BE5-8A33-4C4D-A898-D6ED9C865535}"/>
            </a:ext>
          </a:extLst>
        </xdr:cNvPr>
        <xdr:cNvPicPr preferRelativeResize="0"/>
      </xdr:nvPicPr>
      <xdr:blipFill>
        <a:blip xmlns:r="http://schemas.openxmlformats.org/officeDocument/2006/relationships" r:embed="rId1" cstate="print"/>
        <a:stretch>
          <a:fillRect/>
        </a:stretch>
      </xdr:blipFill>
      <xdr:spPr>
        <a:xfrm>
          <a:off x="3638955" y="1125004"/>
          <a:ext cx="333375" cy="314325"/>
        </a:xfrm>
        <a:prstGeom prst="rect">
          <a:avLst/>
        </a:prstGeom>
        <a:noFill/>
      </xdr:spPr>
    </xdr:pic>
    <xdr:clientData fLocksWithSheet="0"/>
  </xdr:oneCellAnchor>
  <xdr:oneCellAnchor>
    <xdr:from>
      <xdr:col>8</xdr:col>
      <xdr:colOff>324255</xdr:colOff>
      <xdr:row>5</xdr:row>
      <xdr:rowOff>172504</xdr:rowOff>
    </xdr:from>
    <xdr:ext cx="485775" cy="400050"/>
    <xdr:pic>
      <xdr:nvPicPr>
        <xdr:cNvPr id="15" name="image7.png">
          <a:extLst>
            <a:ext uri="{FF2B5EF4-FFF2-40B4-BE49-F238E27FC236}">
              <a16:creationId xmlns:a16="http://schemas.microsoft.com/office/drawing/2014/main" id="{B04FE656-84AE-44AA-90E6-29501FA22AEA}"/>
            </a:ext>
          </a:extLst>
        </xdr:cNvPr>
        <xdr:cNvPicPr preferRelativeResize="0"/>
      </xdr:nvPicPr>
      <xdr:blipFill>
        <a:blip xmlns:r="http://schemas.openxmlformats.org/officeDocument/2006/relationships" r:embed="rId2" cstate="print"/>
        <a:stretch>
          <a:fillRect/>
        </a:stretch>
      </xdr:blipFill>
      <xdr:spPr>
        <a:xfrm>
          <a:off x="5566815" y="1125004"/>
          <a:ext cx="485775" cy="400050"/>
        </a:xfrm>
        <a:prstGeom prst="rect">
          <a:avLst/>
        </a:prstGeom>
        <a:noFill/>
      </xdr:spPr>
    </xdr:pic>
    <xdr:clientData fLocksWithSheet="0"/>
  </xdr:oneCellAnchor>
  <xdr:oneCellAnchor>
    <xdr:from>
      <xdr:col>11</xdr:col>
      <xdr:colOff>406738</xdr:colOff>
      <xdr:row>6</xdr:row>
      <xdr:rowOff>364</xdr:rowOff>
    </xdr:from>
    <xdr:ext cx="419100" cy="304800"/>
    <xdr:pic>
      <xdr:nvPicPr>
        <xdr:cNvPr id="16" name="image5.png">
          <a:extLst>
            <a:ext uri="{FF2B5EF4-FFF2-40B4-BE49-F238E27FC236}">
              <a16:creationId xmlns:a16="http://schemas.microsoft.com/office/drawing/2014/main" id="{E3A54F75-D48E-4638-B517-BE7102021977}"/>
            </a:ext>
          </a:extLst>
        </xdr:cNvPr>
        <xdr:cNvPicPr preferRelativeResize="0"/>
      </xdr:nvPicPr>
      <xdr:blipFill>
        <a:blip xmlns:r="http://schemas.openxmlformats.org/officeDocument/2006/relationships" r:embed="rId3" cstate="print"/>
        <a:stretch>
          <a:fillRect/>
        </a:stretch>
      </xdr:blipFill>
      <xdr:spPr>
        <a:xfrm>
          <a:off x="7615258" y="1143364"/>
          <a:ext cx="419100" cy="304800"/>
        </a:xfrm>
        <a:prstGeom prst="rect">
          <a:avLst/>
        </a:prstGeom>
        <a:noFill/>
      </xdr:spPr>
    </xdr:pic>
    <xdr:clientData fLocksWithSheet="0"/>
  </xdr:oneCellAnchor>
  <xdr:oneCellAnchor>
    <xdr:from>
      <xdr:col>14</xdr:col>
      <xdr:colOff>467698</xdr:colOff>
      <xdr:row>5</xdr:row>
      <xdr:rowOff>183244</xdr:rowOff>
    </xdr:from>
    <xdr:ext cx="390525" cy="314325"/>
    <xdr:pic>
      <xdr:nvPicPr>
        <xdr:cNvPr id="17" name="image2.png">
          <a:extLst>
            <a:ext uri="{FF2B5EF4-FFF2-40B4-BE49-F238E27FC236}">
              <a16:creationId xmlns:a16="http://schemas.microsoft.com/office/drawing/2014/main" id="{25CBEAAC-9BFC-4090-907F-81B9420F55B1}"/>
            </a:ext>
          </a:extLst>
        </xdr:cNvPr>
        <xdr:cNvPicPr preferRelativeResize="0"/>
      </xdr:nvPicPr>
      <xdr:blipFill>
        <a:blip xmlns:r="http://schemas.openxmlformats.org/officeDocument/2006/relationships" r:embed="rId4" cstate="print"/>
        <a:stretch>
          <a:fillRect/>
        </a:stretch>
      </xdr:blipFill>
      <xdr:spPr>
        <a:xfrm>
          <a:off x="9642178" y="1135744"/>
          <a:ext cx="390525" cy="314325"/>
        </a:xfrm>
        <a:prstGeom prst="rect">
          <a:avLst/>
        </a:prstGeom>
        <a:noFill/>
      </xdr:spPr>
    </xdr:pic>
    <xdr:clientData fLocksWithSheet="0"/>
  </xdr:oneCellAnchor>
  <xdr:oneCellAnchor>
    <xdr:from>
      <xdr:col>17</xdr:col>
      <xdr:colOff>589618</xdr:colOff>
      <xdr:row>6</xdr:row>
      <xdr:rowOff>23224</xdr:rowOff>
    </xdr:from>
    <xdr:ext cx="295275" cy="266700"/>
    <xdr:pic>
      <xdr:nvPicPr>
        <xdr:cNvPr id="18" name="image6.png">
          <a:extLst>
            <a:ext uri="{FF2B5EF4-FFF2-40B4-BE49-F238E27FC236}">
              <a16:creationId xmlns:a16="http://schemas.microsoft.com/office/drawing/2014/main" id="{8F42A7CD-CCC5-481F-AA30-91C1722E91FA}"/>
            </a:ext>
          </a:extLst>
        </xdr:cNvPr>
        <xdr:cNvPicPr preferRelativeResize="0"/>
      </xdr:nvPicPr>
      <xdr:blipFill>
        <a:blip xmlns:r="http://schemas.openxmlformats.org/officeDocument/2006/relationships" r:embed="rId5" cstate="print"/>
        <a:stretch>
          <a:fillRect/>
        </a:stretch>
      </xdr:blipFill>
      <xdr:spPr>
        <a:xfrm>
          <a:off x="11730058" y="1166224"/>
          <a:ext cx="295275" cy="266700"/>
        </a:xfrm>
        <a:prstGeom prst="rect">
          <a:avLst/>
        </a:prstGeom>
        <a:noFill/>
      </xdr:spPr>
    </xdr:pic>
    <xdr:clientData fLocksWithSheet="0"/>
  </xdr:oneCellAnchor>
  <xdr:twoCellAnchor>
    <xdr:from>
      <xdr:col>15</xdr:col>
      <xdr:colOff>38100</xdr:colOff>
      <xdr:row>1</xdr:row>
      <xdr:rowOff>60960</xdr:rowOff>
    </xdr:from>
    <xdr:to>
      <xdr:col>16</xdr:col>
      <xdr:colOff>213360</xdr:colOff>
      <xdr:row>4</xdr:row>
      <xdr:rowOff>175260</xdr:rowOff>
    </xdr:to>
    <xdr:graphicFrame macro="">
      <xdr:nvGraphicFramePr>
        <xdr:cNvPr id="27" name="Chart 26">
          <a:extLst>
            <a:ext uri="{FF2B5EF4-FFF2-40B4-BE49-F238E27FC236}">
              <a16:creationId xmlns:a16="http://schemas.microsoft.com/office/drawing/2014/main" id="{AE909761-86D0-4A9A-9D4B-A253A31EA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12</xdr:col>
      <xdr:colOff>193378</xdr:colOff>
      <xdr:row>1</xdr:row>
      <xdr:rowOff>122284</xdr:rowOff>
    </xdr:from>
    <xdr:ext cx="723900" cy="628650"/>
    <xdr:pic>
      <xdr:nvPicPr>
        <xdr:cNvPr id="28" name="image3.png">
          <a:extLst>
            <a:ext uri="{FF2B5EF4-FFF2-40B4-BE49-F238E27FC236}">
              <a16:creationId xmlns:a16="http://schemas.microsoft.com/office/drawing/2014/main" id="{CEEBAC9D-BCFE-4343-AE12-1B6C8DD6EEF9}"/>
            </a:ext>
          </a:extLst>
        </xdr:cNvPr>
        <xdr:cNvPicPr preferRelativeResize="0"/>
      </xdr:nvPicPr>
      <xdr:blipFill>
        <a:blip xmlns:r="http://schemas.openxmlformats.org/officeDocument/2006/relationships" r:embed="rId7" cstate="print"/>
        <a:stretch>
          <a:fillRect/>
        </a:stretch>
      </xdr:blipFill>
      <xdr:spPr>
        <a:xfrm>
          <a:off x="8057218" y="312784"/>
          <a:ext cx="723900" cy="628650"/>
        </a:xfrm>
        <a:prstGeom prst="rect">
          <a:avLst/>
        </a:prstGeom>
        <a:noFill/>
      </xdr:spPr>
    </xdr:pic>
    <xdr:clientData fLocksWithSheet="0"/>
  </xdr:oneCellAnchor>
  <xdr:twoCellAnchor>
    <xdr:from>
      <xdr:col>13</xdr:col>
      <xdr:colOff>304800</xdr:colOff>
      <xdr:row>1</xdr:row>
      <xdr:rowOff>91440</xdr:rowOff>
    </xdr:from>
    <xdr:to>
      <xdr:col>15</xdr:col>
      <xdr:colOff>144780</xdr:colOff>
      <xdr:row>5</xdr:row>
      <xdr:rowOff>45720</xdr:rowOff>
    </xdr:to>
    <xdr:sp macro="" textlink="">
      <xdr:nvSpPr>
        <xdr:cNvPr id="29" name="TextBox 28">
          <a:extLst>
            <a:ext uri="{FF2B5EF4-FFF2-40B4-BE49-F238E27FC236}">
              <a16:creationId xmlns:a16="http://schemas.microsoft.com/office/drawing/2014/main" id="{4DA2F1E8-13E7-48D8-DA1C-3DE803AE6D5F}"/>
            </a:ext>
          </a:extLst>
        </xdr:cNvPr>
        <xdr:cNvSpPr txBox="1"/>
      </xdr:nvSpPr>
      <xdr:spPr>
        <a:xfrm>
          <a:off x="8823960" y="281940"/>
          <a:ext cx="115062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200" b="1">
              <a:solidFill>
                <a:schemeClr val="accent2">
                  <a:lumMod val="75000"/>
                </a:schemeClr>
              </a:solidFill>
              <a:latin typeface="+mj-lt"/>
              <a:ea typeface="+mn-ea"/>
              <a:cs typeface="+mn-cs"/>
            </a:rPr>
            <a:t>JOB SATISFACTION RATING</a:t>
          </a:r>
        </a:p>
      </xdr:txBody>
    </xdr:sp>
    <xdr:clientData/>
  </xdr:twoCellAnchor>
  <xdr:twoCellAnchor>
    <xdr:from>
      <xdr:col>15</xdr:col>
      <xdr:colOff>617220</xdr:colOff>
      <xdr:row>1</xdr:row>
      <xdr:rowOff>106680</xdr:rowOff>
    </xdr:from>
    <xdr:to>
      <xdr:col>18</xdr:col>
      <xdr:colOff>320040</xdr:colOff>
      <xdr:row>4</xdr:row>
      <xdr:rowOff>106680</xdr:rowOff>
    </xdr:to>
    <xdr:graphicFrame macro="">
      <xdr:nvGraphicFramePr>
        <xdr:cNvPr id="36" name="Chart 35">
          <a:extLst>
            <a:ext uri="{FF2B5EF4-FFF2-40B4-BE49-F238E27FC236}">
              <a16:creationId xmlns:a16="http://schemas.microsoft.com/office/drawing/2014/main" id="{DCF0041A-E253-44CF-AC16-502622DBF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30481</xdr:colOff>
      <xdr:row>1</xdr:row>
      <xdr:rowOff>137160</xdr:rowOff>
    </xdr:from>
    <xdr:to>
      <xdr:col>18</xdr:col>
      <xdr:colOff>274321</xdr:colOff>
      <xdr:row>4</xdr:row>
      <xdr:rowOff>60960</xdr:rowOff>
    </xdr:to>
    <xdr:sp macro="" textlink="">
      <xdr:nvSpPr>
        <xdr:cNvPr id="35" name="Freeform: Shape 34">
          <a:extLst>
            <a:ext uri="{FF2B5EF4-FFF2-40B4-BE49-F238E27FC236}">
              <a16:creationId xmlns:a16="http://schemas.microsoft.com/office/drawing/2014/main" id="{86BB4552-AA0B-2721-A636-5DDFE673A5EA}"/>
            </a:ext>
          </a:extLst>
        </xdr:cNvPr>
        <xdr:cNvSpPr/>
      </xdr:nvSpPr>
      <xdr:spPr>
        <a:xfrm>
          <a:off x="10515601" y="327660"/>
          <a:ext cx="1554480" cy="495300"/>
        </a:xfrm>
        <a:custGeom>
          <a:avLst/>
          <a:gdLst>
            <a:gd name="connsiteX0" fmla="*/ 2072808 w 2428567"/>
            <a:gd name="connsiteY0" fmla="*/ 108852 h 570271"/>
            <a:gd name="connsiteX1" fmla="*/ 2009071 w 2428567"/>
            <a:gd name="connsiteY1" fmla="*/ 232610 h 570271"/>
            <a:gd name="connsiteX2" fmla="*/ 1802809 w 2428567"/>
            <a:gd name="connsiteY2" fmla="*/ 232609 h 570271"/>
            <a:gd name="connsiteX3" fmla="*/ 1969679 w 2428567"/>
            <a:gd name="connsiteY3" fmla="*/ 309094 h 570271"/>
            <a:gd name="connsiteX4" fmla="*/ 1905939 w 2428567"/>
            <a:gd name="connsiteY4" fmla="*/ 432851 h 570271"/>
            <a:gd name="connsiteX5" fmla="*/ 2072808 w 2428567"/>
            <a:gd name="connsiteY5" fmla="*/ 356364 h 570271"/>
            <a:gd name="connsiteX6" fmla="*/ 2239677 w 2428567"/>
            <a:gd name="connsiteY6" fmla="*/ 432851 h 570271"/>
            <a:gd name="connsiteX7" fmla="*/ 2175937 w 2428567"/>
            <a:gd name="connsiteY7" fmla="*/ 309094 h 570271"/>
            <a:gd name="connsiteX8" fmla="*/ 2342807 w 2428567"/>
            <a:gd name="connsiteY8" fmla="*/ 232609 h 570271"/>
            <a:gd name="connsiteX9" fmla="*/ 2136545 w 2428567"/>
            <a:gd name="connsiteY9" fmla="*/ 232610 h 570271"/>
            <a:gd name="connsiteX10" fmla="*/ 1483322 w 2428567"/>
            <a:gd name="connsiteY10" fmla="*/ 108852 h 570271"/>
            <a:gd name="connsiteX11" fmla="*/ 1419585 w 2428567"/>
            <a:gd name="connsiteY11" fmla="*/ 232610 h 570271"/>
            <a:gd name="connsiteX12" fmla="*/ 1213323 w 2428567"/>
            <a:gd name="connsiteY12" fmla="*/ 232609 h 570271"/>
            <a:gd name="connsiteX13" fmla="*/ 1380193 w 2428567"/>
            <a:gd name="connsiteY13" fmla="*/ 309094 h 570271"/>
            <a:gd name="connsiteX14" fmla="*/ 1316453 w 2428567"/>
            <a:gd name="connsiteY14" fmla="*/ 432851 h 570271"/>
            <a:gd name="connsiteX15" fmla="*/ 1483322 w 2428567"/>
            <a:gd name="connsiteY15" fmla="*/ 356364 h 570271"/>
            <a:gd name="connsiteX16" fmla="*/ 1650191 w 2428567"/>
            <a:gd name="connsiteY16" fmla="*/ 432851 h 570271"/>
            <a:gd name="connsiteX17" fmla="*/ 1586451 w 2428567"/>
            <a:gd name="connsiteY17" fmla="*/ 309094 h 570271"/>
            <a:gd name="connsiteX18" fmla="*/ 1753321 w 2428567"/>
            <a:gd name="connsiteY18" fmla="*/ 232609 h 570271"/>
            <a:gd name="connsiteX19" fmla="*/ 1547059 w 2428567"/>
            <a:gd name="connsiteY19" fmla="*/ 232610 h 570271"/>
            <a:gd name="connsiteX20" fmla="*/ 893836 w 2428567"/>
            <a:gd name="connsiteY20" fmla="*/ 108852 h 570271"/>
            <a:gd name="connsiteX21" fmla="*/ 830099 w 2428567"/>
            <a:gd name="connsiteY21" fmla="*/ 232610 h 570271"/>
            <a:gd name="connsiteX22" fmla="*/ 623837 w 2428567"/>
            <a:gd name="connsiteY22" fmla="*/ 232609 h 570271"/>
            <a:gd name="connsiteX23" fmla="*/ 790707 w 2428567"/>
            <a:gd name="connsiteY23" fmla="*/ 309094 h 570271"/>
            <a:gd name="connsiteX24" fmla="*/ 726967 w 2428567"/>
            <a:gd name="connsiteY24" fmla="*/ 432851 h 570271"/>
            <a:gd name="connsiteX25" fmla="*/ 893836 w 2428567"/>
            <a:gd name="connsiteY25" fmla="*/ 356364 h 570271"/>
            <a:gd name="connsiteX26" fmla="*/ 1060705 w 2428567"/>
            <a:gd name="connsiteY26" fmla="*/ 432851 h 570271"/>
            <a:gd name="connsiteX27" fmla="*/ 996965 w 2428567"/>
            <a:gd name="connsiteY27" fmla="*/ 309094 h 570271"/>
            <a:gd name="connsiteX28" fmla="*/ 1163835 w 2428567"/>
            <a:gd name="connsiteY28" fmla="*/ 232609 h 570271"/>
            <a:gd name="connsiteX29" fmla="*/ 957573 w 2428567"/>
            <a:gd name="connsiteY29" fmla="*/ 232610 h 570271"/>
            <a:gd name="connsiteX30" fmla="*/ 304350 w 2428567"/>
            <a:gd name="connsiteY30" fmla="*/ 108852 h 570271"/>
            <a:gd name="connsiteX31" fmla="*/ 240613 w 2428567"/>
            <a:gd name="connsiteY31" fmla="*/ 232610 h 570271"/>
            <a:gd name="connsiteX32" fmla="*/ 34351 w 2428567"/>
            <a:gd name="connsiteY32" fmla="*/ 232609 h 570271"/>
            <a:gd name="connsiteX33" fmla="*/ 201221 w 2428567"/>
            <a:gd name="connsiteY33" fmla="*/ 309094 h 570271"/>
            <a:gd name="connsiteX34" fmla="*/ 137481 w 2428567"/>
            <a:gd name="connsiteY34" fmla="*/ 432851 h 570271"/>
            <a:gd name="connsiteX35" fmla="*/ 304350 w 2428567"/>
            <a:gd name="connsiteY35" fmla="*/ 356364 h 570271"/>
            <a:gd name="connsiteX36" fmla="*/ 471219 w 2428567"/>
            <a:gd name="connsiteY36" fmla="*/ 432851 h 570271"/>
            <a:gd name="connsiteX37" fmla="*/ 407479 w 2428567"/>
            <a:gd name="connsiteY37" fmla="*/ 309094 h 570271"/>
            <a:gd name="connsiteX38" fmla="*/ 574349 w 2428567"/>
            <a:gd name="connsiteY38" fmla="*/ 232609 h 570271"/>
            <a:gd name="connsiteX39" fmla="*/ 368087 w 2428567"/>
            <a:gd name="connsiteY39" fmla="*/ 232610 h 570271"/>
            <a:gd name="connsiteX40" fmla="*/ 0 w 2428567"/>
            <a:gd name="connsiteY40" fmla="*/ 0 h 570271"/>
            <a:gd name="connsiteX41" fmla="*/ 2428567 w 2428567"/>
            <a:gd name="connsiteY41" fmla="*/ 0 h 570271"/>
            <a:gd name="connsiteX42" fmla="*/ 2428567 w 2428567"/>
            <a:gd name="connsiteY42" fmla="*/ 570271 h 570271"/>
            <a:gd name="connsiteX43" fmla="*/ 0 w 2428567"/>
            <a:gd name="connsiteY43" fmla="*/ 570271 h 5702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428567" h="570271">
              <a:moveTo>
                <a:pt x="2072808" y="108852"/>
              </a:moveTo>
              <a:lnTo>
                <a:pt x="2009071" y="232610"/>
              </a:lnTo>
              <a:lnTo>
                <a:pt x="1802809" y="232609"/>
              </a:lnTo>
              <a:lnTo>
                <a:pt x="1969679" y="309094"/>
              </a:lnTo>
              <a:lnTo>
                <a:pt x="1905939" y="432851"/>
              </a:lnTo>
              <a:lnTo>
                <a:pt x="2072808" y="356364"/>
              </a:lnTo>
              <a:lnTo>
                <a:pt x="2239677" y="432851"/>
              </a:lnTo>
              <a:lnTo>
                <a:pt x="2175937" y="309094"/>
              </a:lnTo>
              <a:lnTo>
                <a:pt x="2342807" y="232609"/>
              </a:lnTo>
              <a:lnTo>
                <a:pt x="2136545" y="232610"/>
              </a:lnTo>
              <a:close/>
              <a:moveTo>
                <a:pt x="1483322" y="108852"/>
              </a:moveTo>
              <a:lnTo>
                <a:pt x="1419585" y="232610"/>
              </a:lnTo>
              <a:lnTo>
                <a:pt x="1213323" y="232609"/>
              </a:lnTo>
              <a:lnTo>
                <a:pt x="1380193" y="309094"/>
              </a:lnTo>
              <a:lnTo>
                <a:pt x="1316453" y="432851"/>
              </a:lnTo>
              <a:lnTo>
                <a:pt x="1483322" y="356364"/>
              </a:lnTo>
              <a:lnTo>
                <a:pt x="1650191" y="432851"/>
              </a:lnTo>
              <a:lnTo>
                <a:pt x="1586451" y="309094"/>
              </a:lnTo>
              <a:lnTo>
                <a:pt x="1753321" y="232609"/>
              </a:lnTo>
              <a:lnTo>
                <a:pt x="1547059" y="232610"/>
              </a:lnTo>
              <a:close/>
              <a:moveTo>
                <a:pt x="893836" y="108852"/>
              </a:moveTo>
              <a:lnTo>
                <a:pt x="830099" y="232610"/>
              </a:lnTo>
              <a:lnTo>
                <a:pt x="623837" y="232609"/>
              </a:lnTo>
              <a:lnTo>
                <a:pt x="790707" y="309094"/>
              </a:lnTo>
              <a:lnTo>
                <a:pt x="726967" y="432851"/>
              </a:lnTo>
              <a:lnTo>
                <a:pt x="893836" y="356364"/>
              </a:lnTo>
              <a:lnTo>
                <a:pt x="1060705" y="432851"/>
              </a:lnTo>
              <a:lnTo>
                <a:pt x="996965" y="309094"/>
              </a:lnTo>
              <a:lnTo>
                <a:pt x="1163835" y="232609"/>
              </a:lnTo>
              <a:lnTo>
                <a:pt x="957573" y="232610"/>
              </a:lnTo>
              <a:close/>
              <a:moveTo>
                <a:pt x="304350" y="108852"/>
              </a:moveTo>
              <a:lnTo>
                <a:pt x="240613" y="232610"/>
              </a:lnTo>
              <a:lnTo>
                <a:pt x="34351" y="232609"/>
              </a:lnTo>
              <a:lnTo>
                <a:pt x="201221" y="309094"/>
              </a:lnTo>
              <a:lnTo>
                <a:pt x="137481" y="432851"/>
              </a:lnTo>
              <a:lnTo>
                <a:pt x="304350" y="356364"/>
              </a:lnTo>
              <a:lnTo>
                <a:pt x="471219" y="432851"/>
              </a:lnTo>
              <a:lnTo>
                <a:pt x="407479" y="309094"/>
              </a:lnTo>
              <a:lnTo>
                <a:pt x="574349" y="232609"/>
              </a:lnTo>
              <a:lnTo>
                <a:pt x="368087" y="232610"/>
              </a:lnTo>
              <a:close/>
              <a:moveTo>
                <a:pt x="0" y="0"/>
              </a:moveTo>
              <a:lnTo>
                <a:pt x="2428567" y="0"/>
              </a:lnTo>
              <a:lnTo>
                <a:pt x="2428567" y="570271"/>
              </a:lnTo>
              <a:lnTo>
                <a:pt x="0" y="570271"/>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AU"/>
        </a:p>
      </xdr:txBody>
    </xdr:sp>
    <xdr:clientData/>
  </xdr:twoCellAnchor>
  <xdr:twoCellAnchor>
    <xdr:from>
      <xdr:col>3</xdr:col>
      <xdr:colOff>190500</xdr:colOff>
      <xdr:row>17</xdr:row>
      <xdr:rowOff>118292</xdr:rowOff>
    </xdr:from>
    <xdr:to>
      <xdr:col>4</xdr:col>
      <xdr:colOff>615180</xdr:colOff>
      <xdr:row>23</xdr:row>
      <xdr:rowOff>55292</xdr:rowOff>
    </xdr:to>
    <xdr:graphicFrame macro="">
      <xdr:nvGraphicFramePr>
        <xdr:cNvPr id="38" name="Chart 37">
          <a:extLst>
            <a:ext uri="{FF2B5EF4-FFF2-40B4-BE49-F238E27FC236}">
              <a16:creationId xmlns:a16="http://schemas.microsoft.com/office/drawing/2014/main" id="{B1665957-F22B-4280-87F4-9A56DF9A9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597238</xdr:colOff>
      <xdr:row>17</xdr:row>
      <xdr:rowOff>125912</xdr:rowOff>
    </xdr:from>
    <xdr:to>
      <xdr:col>7</xdr:col>
      <xdr:colOff>366598</xdr:colOff>
      <xdr:row>23</xdr:row>
      <xdr:rowOff>62912</xdr:rowOff>
    </xdr:to>
    <xdr:graphicFrame macro="">
      <xdr:nvGraphicFramePr>
        <xdr:cNvPr id="39" name="Chart 38">
          <a:extLst>
            <a:ext uri="{FF2B5EF4-FFF2-40B4-BE49-F238E27FC236}">
              <a16:creationId xmlns:a16="http://schemas.microsoft.com/office/drawing/2014/main" id="{CD14434E-4057-44E7-A8EC-29D12F776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3</xdr:col>
      <xdr:colOff>216238</xdr:colOff>
      <xdr:row>1</xdr:row>
      <xdr:rowOff>137524</xdr:rowOff>
    </xdr:from>
    <xdr:ext cx="542925" cy="523875"/>
    <xdr:pic>
      <xdr:nvPicPr>
        <xdr:cNvPr id="40" name="image1.png">
          <a:extLst>
            <a:ext uri="{FF2B5EF4-FFF2-40B4-BE49-F238E27FC236}">
              <a16:creationId xmlns:a16="http://schemas.microsoft.com/office/drawing/2014/main" id="{3C487705-3807-465B-B845-CEEE4A89B47E}"/>
            </a:ext>
          </a:extLst>
        </xdr:cNvPr>
        <xdr:cNvPicPr preferRelativeResize="0"/>
      </xdr:nvPicPr>
      <xdr:blipFill>
        <a:blip xmlns:r="http://schemas.openxmlformats.org/officeDocument/2006/relationships" r:embed="rId11" cstate="print"/>
        <a:stretch>
          <a:fillRect/>
        </a:stretch>
      </xdr:blipFill>
      <xdr:spPr>
        <a:xfrm>
          <a:off x="2182198" y="328024"/>
          <a:ext cx="542925" cy="523875"/>
        </a:xfrm>
        <a:prstGeom prst="rect">
          <a:avLst/>
        </a:prstGeom>
        <a:noFill/>
      </xdr:spPr>
    </xdr:pic>
    <xdr:clientData fLocksWithSheet="0"/>
  </xdr:oneCellAnchor>
  <xdr:twoCellAnchor>
    <xdr:from>
      <xdr:col>4</xdr:col>
      <xdr:colOff>152400</xdr:colOff>
      <xdr:row>1</xdr:row>
      <xdr:rowOff>91440</xdr:rowOff>
    </xdr:from>
    <xdr:to>
      <xdr:col>11</xdr:col>
      <xdr:colOff>533400</xdr:colOff>
      <xdr:row>4</xdr:row>
      <xdr:rowOff>45720</xdr:rowOff>
    </xdr:to>
    <xdr:sp macro="" textlink="">
      <xdr:nvSpPr>
        <xdr:cNvPr id="41" name="TextBox 40">
          <a:extLst>
            <a:ext uri="{FF2B5EF4-FFF2-40B4-BE49-F238E27FC236}">
              <a16:creationId xmlns:a16="http://schemas.microsoft.com/office/drawing/2014/main" id="{5C2E523B-2434-7A4F-6316-0ED4B2C14245}"/>
            </a:ext>
          </a:extLst>
        </xdr:cNvPr>
        <xdr:cNvSpPr txBox="1"/>
      </xdr:nvSpPr>
      <xdr:spPr>
        <a:xfrm>
          <a:off x="2773680" y="281940"/>
          <a:ext cx="496824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3200" b="1">
              <a:solidFill>
                <a:schemeClr val="accent1">
                  <a:lumMod val="50000"/>
                </a:schemeClr>
              </a:solidFill>
            </a:rPr>
            <a:t>HR ANALYTICS</a:t>
          </a:r>
          <a:r>
            <a:rPr lang="en-AU" sz="3200" b="1" baseline="0">
              <a:solidFill>
                <a:schemeClr val="accent1">
                  <a:lumMod val="50000"/>
                </a:schemeClr>
              </a:solidFill>
            </a:rPr>
            <a:t> DASHBOARD</a:t>
          </a:r>
          <a:endParaRPr lang="en-AU" sz="3200" b="1">
            <a:solidFill>
              <a:schemeClr val="accent1">
                <a:lumMod val="50000"/>
              </a:schemeClr>
            </a:solidFill>
          </a:endParaRPr>
        </a:p>
      </xdr:txBody>
    </xdr:sp>
    <xdr:clientData/>
  </xdr:twoCellAnchor>
  <xdr:twoCellAnchor>
    <xdr:from>
      <xdr:col>3</xdr:col>
      <xdr:colOff>315298</xdr:colOff>
      <xdr:row>11</xdr:row>
      <xdr:rowOff>38464</xdr:rowOff>
    </xdr:from>
    <xdr:to>
      <xdr:col>7</xdr:col>
      <xdr:colOff>251460</xdr:colOff>
      <xdr:row>12</xdr:row>
      <xdr:rowOff>95209</xdr:rowOff>
    </xdr:to>
    <xdr:sp macro="" textlink="">
      <xdr:nvSpPr>
        <xdr:cNvPr id="42" name="TextBox 41">
          <a:extLst>
            <a:ext uri="{FF2B5EF4-FFF2-40B4-BE49-F238E27FC236}">
              <a16:creationId xmlns:a16="http://schemas.microsoft.com/office/drawing/2014/main" id="{A6790009-B19A-45E8-89AF-9FF4711AAEDF}"/>
            </a:ext>
          </a:extLst>
        </xdr:cNvPr>
        <xdr:cNvSpPr txBox="1"/>
      </xdr:nvSpPr>
      <xdr:spPr>
        <a:xfrm>
          <a:off x="2281258" y="2133964"/>
          <a:ext cx="2557442"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Total</a:t>
          </a:r>
          <a:r>
            <a:rPr lang="en-AU" sz="1400" b="1" baseline="0">
              <a:solidFill>
                <a:schemeClr val="accent2">
                  <a:lumMod val="75000"/>
                </a:schemeClr>
              </a:solidFill>
              <a:latin typeface="+mj-lt"/>
            </a:rPr>
            <a:t> Employees by Gender</a:t>
          </a:r>
          <a:endParaRPr lang="en-AU" sz="1400" b="1">
            <a:solidFill>
              <a:schemeClr val="accent2">
                <a:lumMod val="75000"/>
              </a:schemeClr>
            </a:solidFill>
            <a:latin typeface="+mj-lt"/>
          </a:endParaRPr>
        </a:p>
      </xdr:txBody>
    </xdr:sp>
    <xdr:clientData/>
  </xdr:twoCellAnchor>
  <xdr:twoCellAnchor>
    <xdr:from>
      <xdr:col>7</xdr:col>
      <xdr:colOff>604858</xdr:colOff>
      <xdr:row>11</xdr:row>
      <xdr:rowOff>7984</xdr:rowOff>
    </xdr:from>
    <xdr:to>
      <xdr:col>12</xdr:col>
      <xdr:colOff>487680</xdr:colOff>
      <xdr:row>12</xdr:row>
      <xdr:rowOff>64729</xdr:rowOff>
    </xdr:to>
    <xdr:sp macro="" textlink="">
      <xdr:nvSpPr>
        <xdr:cNvPr id="43" name="TextBox 42">
          <a:extLst>
            <a:ext uri="{FF2B5EF4-FFF2-40B4-BE49-F238E27FC236}">
              <a16:creationId xmlns:a16="http://schemas.microsoft.com/office/drawing/2014/main" id="{216303AB-672F-4695-8FDC-2234EE145045}"/>
            </a:ext>
          </a:extLst>
        </xdr:cNvPr>
        <xdr:cNvSpPr txBox="1"/>
      </xdr:nvSpPr>
      <xdr:spPr>
        <a:xfrm>
          <a:off x="5192098" y="2103484"/>
          <a:ext cx="3159422"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Education</a:t>
          </a:r>
          <a:r>
            <a:rPr lang="en-AU" sz="1400" b="1" baseline="0">
              <a:solidFill>
                <a:schemeClr val="accent2">
                  <a:lumMod val="75000"/>
                </a:schemeClr>
              </a:solidFill>
              <a:latin typeface="+mj-lt"/>
            </a:rPr>
            <a:t> Wise Attrition</a:t>
          </a:r>
          <a:endParaRPr lang="en-AU" sz="1400" b="1">
            <a:solidFill>
              <a:schemeClr val="accent2">
                <a:lumMod val="75000"/>
              </a:schemeClr>
            </a:solidFill>
            <a:latin typeface="+mj-lt"/>
          </a:endParaRPr>
        </a:p>
      </xdr:txBody>
    </xdr:sp>
    <xdr:clientData/>
  </xdr:twoCellAnchor>
  <xdr:twoCellAnchor>
    <xdr:from>
      <xdr:col>13</xdr:col>
      <xdr:colOff>345778</xdr:colOff>
      <xdr:row>11</xdr:row>
      <xdr:rowOff>38464</xdr:rowOff>
    </xdr:from>
    <xdr:to>
      <xdr:col>16</xdr:col>
      <xdr:colOff>243840</xdr:colOff>
      <xdr:row>12</xdr:row>
      <xdr:rowOff>95209</xdr:rowOff>
    </xdr:to>
    <xdr:sp macro="" textlink="">
      <xdr:nvSpPr>
        <xdr:cNvPr id="44" name="TextBox 43">
          <a:extLst>
            <a:ext uri="{FF2B5EF4-FFF2-40B4-BE49-F238E27FC236}">
              <a16:creationId xmlns:a16="http://schemas.microsoft.com/office/drawing/2014/main" id="{CB9811D1-A5BB-440E-9FB8-5C3A3EC3BF16}"/>
            </a:ext>
          </a:extLst>
        </xdr:cNvPr>
        <xdr:cNvSpPr txBox="1"/>
      </xdr:nvSpPr>
      <xdr:spPr>
        <a:xfrm>
          <a:off x="8864938" y="2133964"/>
          <a:ext cx="1864022"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Attrition By Job Role</a:t>
          </a:r>
        </a:p>
      </xdr:txBody>
    </xdr:sp>
    <xdr:clientData/>
  </xdr:twoCellAnchor>
  <xdr:twoCellAnchor>
    <xdr:from>
      <xdr:col>3</xdr:col>
      <xdr:colOff>239098</xdr:colOff>
      <xdr:row>12</xdr:row>
      <xdr:rowOff>139952</xdr:rowOff>
    </xdr:from>
    <xdr:to>
      <xdr:col>7</xdr:col>
      <xdr:colOff>281940</xdr:colOff>
      <xdr:row>12</xdr:row>
      <xdr:rowOff>144780</xdr:rowOff>
    </xdr:to>
    <xdr:cxnSp macro="">
      <xdr:nvCxnSpPr>
        <xdr:cNvPr id="46" name="Shape 68">
          <a:extLst>
            <a:ext uri="{FF2B5EF4-FFF2-40B4-BE49-F238E27FC236}">
              <a16:creationId xmlns:a16="http://schemas.microsoft.com/office/drawing/2014/main" id="{C9EECBD8-DB8B-4E69-A6EE-4892B1EE54D3}"/>
            </a:ext>
          </a:extLst>
        </xdr:cNvPr>
        <xdr:cNvCxnSpPr/>
      </xdr:nvCxnSpPr>
      <xdr:spPr>
        <a:xfrm flipH="1" flipV="1">
          <a:off x="2205058" y="2425952"/>
          <a:ext cx="2664122" cy="4828"/>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editAs="oneCell">
    <xdr:from>
      <xdr:col>4</xdr:col>
      <xdr:colOff>502920</xdr:colOff>
      <xdr:row>19</xdr:row>
      <xdr:rowOff>68580</xdr:rowOff>
    </xdr:from>
    <xdr:to>
      <xdr:col>5</xdr:col>
      <xdr:colOff>289560</xdr:colOff>
      <xdr:row>21</xdr:row>
      <xdr:rowOff>129540</xdr:rowOff>
    </xdr:to>
    <xdr:pic>
      <xdr:nvPicPr>
        <xdr:cNvPr id="50" name="Picture 49">
          <a:extLst>
            <a:ext uri="{FF2B5EF4-FFF2-40B4-BE49-F238E27FC236}">
              <a16:creationId xmlns:a16="http://schemas.microsoft.com/office/drawing/2014/main" id="{E9E50ECA-2B87-3EB5-DD1F-6BA66F14B38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24200" y="3688080"/>
          <a:ext cx="441960" cy="441960"/>
        </a:xfrm>
        <a:prstGeom prst="rect">
          <a:avLst/>
        </a:prstGeom>
      </xdr:spPr>
    </xdr:pic>
    <xdr:clientData/>
  </xdr:twoCellAnchor>
  <xdr:twoCellAnchor editAs="oneCell">
    <xdr:from>
      <xdr:col>5</xdr:col>
      <xdr:colOff>381000</xdr:colOff>
      <xdr:row>19</xdr:row>
      <xdr:rowOff>60960</xdr:rowOff>
    </xdr:from>
    <xdr:to>
      <xdr:col>6</xdr:col>
      <xdr:colOff>111900</xdr:colOff>
      <xdr:row>21</xdr:row>
      <xdr:rowOff>66180</xdr:rowOff>
    </xdr:to>
    <xdr:pic>
      <xdr:nvPicPr>
        <xdr:cNvPr id="52" name="Picture 51">
          <a:extLst>
            <a:ext uri="{FF2B5EF4-FFF2-40B4-BE49-F238E27FC236}">
              <a16:creationId xmlns:a16="http://schemas.microsoft.com/office/drawing/2014/main" id="{F2ACAEE9-3B82-6DDE-BC6F-7F1A519F1FC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657600" y="3680460"/>
          <a:ext cx="386220" cy="386220"/>
        </a:xfrm>
        <a:prstGeom prst="rect">
          <a:avLst/>
        </a:prstGeom>
      </xdr:spPr>
    </xdr:pic>
    <xdr:clientData/>
  </xdr:twoCellAnchor>
  <xdr:twoCellAnchor>
    <xdr:from>
      <xdr:col>3</xdr:col>
      <xdr:colOff>472440</xdr:colOff>
      <xdr:row>19</xdr:row>
      <xdr:rowOff>121920</xdr:rowOff>
    </xdr:from>
    <xdr:to>
      <xdr:col>4</xdr:col>
      <xdr:colOff>381000</xdr:colOff>
      <xdr:row>21</xdr:row>
      <xdr:rowOff>152400</xdr:rowOff>
    </xdr:to>
    <xdr:sp macro="" textlink="ByGender!$C$11">
      <xdr:nvSpPr>
        <xdr:cNvPr id="53" name="TextBox 52">
          <a:extLst>
            <a:ext uri="{FF2B5EF4-FFF2-40B4-BE49-F238E27FC236}">
              <a16:creationId xmlns:a16="http://schemas.microsoft.com/office/drawing/2014/main" id="{EB16F3C4-1186-9CA8-BB23-9F1621761459}"/>
            </a:ext>
          </a:extLst>
        </xdr:cNvPr>
        <xdr:cNvSpPr txBox="1"/>
      </xdr:nvSpPr>
      <xdr:spPr>
        <a:xfrm>
          <a:off x="2438400" y="3741420"/>
          <a:ext cx="5638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FFA643-1BAB-406C-8E38-EF641629FC2F}" type="TxLink">
            <a:rPr lang="en-US" sz="1200" b="0" i="0" u="none" strike="noStrike">
              <a:solidFill>
                <a:srgbClr val="000000"/>
              </a:solidFill>
              <a:latin typeface="Calibri"/>
              <a:ea typeface="Calibri"/>
              <a:cs typeface="Calibri"/>
            </a:rPr>
            <a:pPr algn="ctr"/>
            <a:t>40%</a:t>
          </a:fld>
          <a:endParaRPr lang="en-AU" sz="1100"/>
        </a:p>
      </xdr:txBody>
    </xdr:sp>
    <xdr:clientData/>
  </xdr:twoCellAnchor>
  <xdr:twoCellAnchor>
    <xdr:from>
      <xdr:col>6</xdr:col>
      <xdr:colOff>228600</xdr:colOff>
      <xdr:row>19</xdr:row>
      <xdr:rowOff>137160</xdr:rowOff>
    </xdr:from>
    <xdr:to>
      <xdr:col>7</xdr:col>
      <xdr:colOff>137160</xdr:colOff>
      <xdr:row>21</xdr:row>
      <xdr:rowOff>160020</xdr:rowOff>
    </xdr:to>
    <xdr:sp macro="" textlink="ByGender!$C$12">
      <xdr:nvSpPr>
        <xdr:cNvPr id="79" name="TextBox 78">
          <a:extLst>
            <a:ext uri="{FF2B5EF4-FFF2-40B4-BE49-F238E27FC236}">
              <a16:creationId xmlns:a16="http://schemas.microsoft.com/office/drawing/2014/main" id="{2F41F3E7-54A0-42C6-897C-3D4AB33579FD}"/>
            </a:ext>
          </a:extLst>
        </xdr:cNvPr>
        <xdr:cNvSpPr txBox="1"/>
      </xdr:nvSpPr>
      <xdr:spPr>
        <a:xfrm>
          <a:off x="4160520" y="3756660"/>
          <a:ext cx="5638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44527F-5371-437F-AD70-76B8CF3DE354}" type="TxLink">
            <a:rPr lang="en-US" sz="1200" b="0" i="0" u="none" strike="noStrike">
              <a:solidFill>
                <a:srgbClr val="000000"/>
              </a:solidFill>
              <a:latin typeface="Calibri"/>
              <a:ea typeface="Calibri"/>
              <a:cs typeface="Calibri"/>
            </a:rPr>
            <a:pPr algn="ctr"/>
            <a:t>60%</a:t>
          </a:fld>
          <a:endParaRPr lang="en-AU" sz="1100"/>
        </a:p>
      </xdr:txBody>
    </xdr:sp>
    <xdr:clientData/>
  </xdr:twoCellAnchor>
  <xdr:twoCellAnchor editAs="oneCell">
    <xdr:from>
      <xdr:col>4</xdr:col>
      <xdr:colOff>220980</xdr:colOff>
      <xdr:row>14</xdr:row>
      <xdr:rowOff>83820</xdr:rowOff>
    </xdr:from>
    <xdr:to>
      <xdr:col>6</xdr:col>
      <xdr:colOff>419100</xdr:colOff>
      <xdr:row>17</xdr:row>
      <xdr:rowOff>175260</xdr:rowOff>
    </xdr:to>
    <mc:AlternateContent xmlns:mc="http://schemas.openxmlformats.org/markup-compatibility/2006">
      <mc:Choice xmlns:a14="http://schemas.microsoft.com/office/drawing/2010/main" Requires="a14">
        <xdr:graphicFrame macro="">
          <xdr:nvGraphicFramePr>
            <xdr:cNvPr id="80" name="Gender 3">
              <a:extLst>
                <a:ext uri="{FF2B5EF4-FFF2-40B4-BE49-F238E27FC236}">
                  <a16:creationId xmlns:a16="http://schemas.microsoft.com/office/drawing/2014/main" id="{A527F211-D2F0-454C-9EE3-5AFB6E8083C4}"/>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851446" y="2714286"/>
              <a:ext cx="1513353" cy="65511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13</xdr:row>
      <xdr:rowOff>129540</xdr:rowOff>
    </xdr:from>
    <xdr:to>
      <xdr:col>12</xdr:col>
      <xdr:colOff>627718</xdr:colOff>
      <xdr:row>23</xdr:row>
      <xdr:rowOff>7620</xdr:rowOff>
    </xdr:to>
    <xdr:graphicFrame macro="">
      <xdr:nvGraphicFramePr>
        <xdr:cNvPr id="81" name="Chart 80">
          <a:extLst>
            <a:ext uri="{FF2B5EF4-FFF2-40B4-BE49-F238E27FC236}">
              <a16:creationId xmlns:a16="http://schemas.microsoft.com/office/drawing/2014/main" id="{BF178075-500A-42B5-A9A6-659B7EC6B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236220</xdr:colOff>
      <xdr:row>27</xdr:row>
      <xdr:rowOff>22860</xdr:rowOff>
    </xdr:from>
    <xdr:to>
      <xdr:col>7</xdr:col>
      <xdr:colOff>350520</xdr:colOff>
      <xdr:row>36</xdr:row>
      <xdr:rowOff>182880</xdr:rowOff>
    </xdr:to>
    <xdr:graphicFrame macro="">
      <xdr:nvGraphicFramePr>
        <xdr:cNvPr id="82" name="Chart 81">
          <a:extLst>
            <a:ext uri="{FF2B5EF4-FFF2-40B4-BE49-F238E27FC236}">
              <a16:creationId xmlns:a16="http://schemas.microsoft.com/office/drawing/2014/main" id="{92A28A11-C59E-4931-9FAA-915BC297D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155278</xdr:colOff>
      <xdr:row>25</xdr:row>
      <xdr:rowOff>364</xdr:rowOff>
    </xdr:from>
    <xdr:to>
      <xdr:col>7</xdr:col>
      <xdr:colOff>91440</xdr:colOff>
      <xdr:row>26</xdr:row>
      <xdr:rowOff>57109</xdr:rowOff>
    </xdr:to>
    <xdr:sp macro="" textlink="">
      <xdr:nvSpPr>
        <xdr:cNvPr id="83" name="TextBox 82">
          <a:extLst>
            <a:ext uri="{FF2B5EF4-FFF2-40B4-BE49-F238E27FC236}">
              <a16:creationId xmlns:a16="http://schemas.microsoft.com/office/drawing/2014/main" id="{75308DA8-0A1C-40C5-A2F6-5EF650C628DC}"/>
            </a:ext>
          </a:extLst>
        </xdr:cNvPr>
        <xdr:cNvSpPr txBox="1"/>
      </xdr:nvSpPr>
      <xdr:spPr>
        <a:xfrm>
          <a:off x="2121238" y="4762864"/>
          <a:ext cx="2557442"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Department Wise</a:t>
          </a:r>
          <a:r>
            <a:rPr lang="en-AU" sz="1400" b="1" baseline="0">
              <a:solidFill>
                <a:schemeClr val="accent2">
                  <a:lumMod val="75000"/>
                </a:schemeClr>
              </a:solidFill>
              <a:latin typeface="+mj-lt"/>
            </a:rPr>
            <a:t> Attrition</a:t>
          </a:r>
          <a:endParaRPr lang="en-AU" sz="1400" b="1">
            <a:solidFill>
              <a:schemeClr val="accent2">
                <a:lumMod val="75000"/>
              </a:schemeClr>
            </a:solidFill>
            <a:latin typeface="+mj-lt"/>
          </a:endParaRPr>
        </a:p>
      </xdr:txBody>
    </xdr:sp>
    <xdr:clientData/>
  </xdr:twoCellAnchor>
  <xdr:twoCellAnchor>
    <xdr:from>
      <xdr:col>7</xdr:col>
      <xdr:colOff>589618</xdr:colOff>
      <xdr:row>24</xdr:row>
      <xdr:rowOff>152764</xdr:rowOff>
    </xdr:from>
    <xdr:to>
      <xdr:col>11</xdr:col>
      <xdr:colOff>525780</xdr:colOff>
      <xdr:row>26</xdr:row>
      <xdr:rowOff>19009</xdr:rowOff>
    </xdr:to>
    <xdr:sp macro="" textlink="">
      <xdr:nvSpPr>
        <xdr:cNvPr id="84" name="TextBox 83">
          <a:extLst>
            <a:ext uri="{FF2B5EF4-FFF2-40B4-BE49-F238E27FC236}">
              <a16:creationId xmlns:a16="http://schemas.microsoft.com/office/drawing/2014/main" id="{21CE35FF-A7DF-47D4-A3E3-3761EC3747F0}"/>
            </a:ext>
          </a:extLst>
        </xdr:cNvPr>
        <xdr:cNvSpPr txBox="1"/>
      </xdr:nvSpPr>
      <xdr:spPr>
        <a:xfrm>
          <a:off x="5176858" y="4724764"/>
          <a:ext cx="2557442"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Department Wise</a:t>
          </a:r>
          <a:r>
            <a:rPr lang="en-AU" sz="1400" b="1" baseline="0">
              <a:solidFill>
                <a:schemeClr val="accent2">
                  <a:lumMod val="75000"/>
                </a:schemeClr>
              </a:solidFill>
              <a:latin typeface="+mj-lt"/>
            </a:rPr>
            <a:t> Attrition</a:t>
          </a:r>
          <a:endParaRPr lang="en-AU" sz="1400" b="1">
            <a:solidFill>
              <a:schemeClr val="accent2">
                <a:lumMod val="75000"/>
              </a:schemeClr>
            </a:solidFill>
            <a:latin typeface="+mj-lt"/>
          </a:endParaRPr>
        </a:p>
      </xdr:txBody>
    </xdr:sp>
    <xdr:clientData/>
  </xdr:twoCellAnchor>
  <xdr:twoCellAnchor>
    <xdr:from>
      <xdr:col>12</xdr:col>
      <xdr:colOff>48598</xdr:colOff>
      <xdr:row>24</xdr:row>
      <xdr:rowOff>168004</xdr:rowOff>
    </xdr:from>
    <xdr:to>
      <xdr:col>15</xdr:col>
      <xdr:colOff>281940</xdr:colOff>
      <xdr:row>26</xdr:row>
      <xdr:rowOff>34249</xdr:rowOff>
    </xdr:to>
    <xdr:sp macro="" textlink="">
      <xdr:nvSpPr>
        <xdr:cNvPr id="85" name="TextBox 84">
          <a:extLst>
            <a:ext uri="{FF2B5EF4-FFF2-40B4-BE49-F238E27FC236}">
              <a16:creationId xmlns:a16="http://schemas.microsoft.com/office/drawing/2014/main" id="{B96733CF-3438-41D0-84C0-15D5003A4B65}"/>
            </a:ext>
          </a:extLst>
        </xdr:cNvPr>
        <xdr:cNvSpPr txBox="1"/>
      </xdr:nvSpPr>
      <xdr:spPr>
        <a:xfrm>
          <a:off x="7912438" y="4740004"/>
          <a:ext cx="2199302"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Atrrition By Marital Status</a:t>
          </a:r>
        </a:p>
      </xdr:txBody>
    </xdr:sp>
    <xdr:clientData/>
  </xdr:twoCellAnchor>
  <xdr:twoCellAnchor>
    <xdr:from>
      <xdr:col>15</xdr:col>
      <xdr:colOff>269578</xdr:colOff>
      <xdr:row>24</xdr:row>
      <xdr:rowOff>160384</xdr:rowOff>
    </xdr:from>
    <xdr:to>
      <xdr:col>18</xdr:col>
      <xdr:colOff>358140</xdr:colOff>
      <xdr:row>26</xdr:row>
      <xdr:rowOff>26629</xdr:rowOff>
    </xdr:to>
    <xdr:sp macro="" textlink="">
      <xdr:nvSpPr>
        <xdr:cNvPr id="86" name="TextBox 85">
          <a:extLst>
            <a:ext uri="{FF2B5EF4-FFF2-40B4-BE49-F238E27FC236}">
              <a16:creationId xmlns:a16="http://schemas.microsoft.com/office/drawing/2014/main" id="{F6848E80-6C7B-4E22-89AB-E187F03B1CA5}"/>
            </a:ext>
          </a:extLst>
        </xdr:cNvPr>
        <xdr:cNvSpPr txBox="1"/>
      </xdr:nvSpPr>
      <xdr:spPr>
        <a:xfrm>
          <a:off x="10099378" y="4732384"/>
          <a:ext cx="2054522" cy="24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accent2">
                  <a:lumMod val="75000"/>
                </a:schemeClr>
              </a:solidFill>
              <a:latin typeface="+mj-lt"/>
            </a:rPr>
            <a:t>Filter Panel</a:t>
          </a:r>
        </a:p>
      </xdr:txBody>
    </xdr:sp>
    <xdr:clientData/>
  </xdr:twoCellAnchor>
  <xdr:twoCellAnchor>
    <xdr:from>
      <xdr:col>7</xdr:col>
      <xdr:colOff>579120</xdr:colOff>
      <xdr:row>27</xdr:row>
      <xdr:rowOff>106680</xdr:rowOff>
    </xdr:from>
    <xdr:to>
      <xdr:col>11</xdr:col>
      <xdr:colOff>495300</xdr:colOff>
      <xdr:row>36</xdr:row>
      <xdr:rowOff>129540</xdr:rowOff>
    </xdr:to>
    <xdr:graphicFrame macro="">
      <xdr:nvGraphicFramePr>
        <xdr:cNvPr id="87" name="Chart 86">
          <a:extLst>
            <a:ext uri="{FF2B5EF4-FFF2-40B4-BE49-F238E27FC236}">
              <a16:creationId xmlns:a16="http://schemas.microsoft.com/office/drawing/2014/main" id="{46D45905-83F0-4355-9789-8B9DD0523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167640</xdr:colOff>
      <xdr:row>27</xdr:row>
      <xdr:rowOff>99060</xdr:rowOff>
    </xdr:from>
    <xdr:to>
      <xdr:col>15</xdr:col>
      <xdr:colOff>45720</xdr:colOff>
      <xdr:row>37</xdr:row>
      <xdr:rowOff>19414</xdr:rowOff>
    </xdr:to>
    <mc:AlternateContent xmlns:mc="http://schemas.openxmlformats.org/markup-compatibility/2006">
      <mc:Choice xmlns:cx2="http://schemas.microsoft.com/office/drawing/2015/10/21/chartex" Requires="cx2">
        <xdr:graphicFrame macro="">
          <xdr:nvGraphicFramePr>
            <xdr:cNvPr id="88" name="Chart 87">
              <a:extLst>
                <a:ext uri="{FF2B5EF4-FFF2-40B4-BE49-F238E27FC236}">
                  <a16:creationId xmlns:a16="http://schemas.microsoft.com/office/drawing/2014/main" id="{99CA8AC2-A163-4FBA-AD1B-DC8F8776C4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8031480" y="5242560"/>
              <a:ext cx="1844040" cy="1825354"/>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388620</xdr:colOff>
      <xdr:row>13</xdr:row>
      <xdr:rowOff>30480</xdr:rowOff>
    </xdr:from>
    <xdr:to>
      <xdr:col>18</xdr:col>
      <xdr:colOff>251460</xdr:colOff>
      <xdr:row>23</xdr:row>
      <xdr:rowOff>122284</xdr:rowOff>
    </xdr:to>
    <mc:AlternateContent xmlns:mc="http://schemas.openxmlformats.org/markup-compatibility/2006">
      <mc:Choice xmlns:cx1="http://schemas.microsoft.com/office/drawing/2015/9/8/chartex" Requires="cx1">
        <xdr:graphicFrame macro="">
          <xdr:nvGraphicFramePr>
            <xdr:cNvPr id="89" name="Chart 88">
              <a:extLst>
                <a:ext uri="{FF2B5EF4-FFF2-40B4-BE49-F238E27FC236}">
                  <a16:creationId xmlns:a16="http://schemas.microsoft.com/office/drawing/2014/main" id="{2F04B4B8-788F-4F63-918D-27ACC1A006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8907780" y="2506980"/>
              <a:ext cx="3139440" cy="1996804"/>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167640</xdr:colOff>
      <xdr:row>28</xdr:row>
      <xdr:rowOff>99425</xdr:rowOff>
    </xdr:from>
    <xdr:to>
      <xdr:col>18</xdr:col>
      <xdr:colOff>281940</xdr:colOff>
      <xdr:row>35</xdr:row>
      <xdr:rowOff>76200</xdr:rowOff>
    </xdr:to>
    <mc:AlternateContent xmlns:mc="http://schemas.openxmlformats.org/markup-compatibility/2006">
      <mc:Choice xmlns:a14="http://schemas.microsoft.com/office/drawing/2010/main" Requires="a14">
        <xdr:graphicFrame macro="">
          <xdr:nvGraphicFramePr>
            <xdr:cNvPr id="90" name="Department 1">
              <a:extLst>
                <a:ext uri="{FF2B5EF4-FFF2-40B4-BE49-F238E27FC236}">
                  <a16:creationId xmlns:a16="http://schemas.microsoft.com/office/drawing/2014/main" id="{AAAC2F2A-1AE4-4CFD-B2C6-A7CB6FFBD70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347119" y="5360357"/>
              <a:ext cx="771917" cy="129200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320040</xdr:colOff>
      <xdr:row>28</xdr:row>
      <xdr:rowOff>22860</xdr:rowOff>
    </xdr:from>
    <xdr:to>
      <xdr:col>17</xdr:col>
      <xdr:colOff>121920</xdr:colOff>
      <xdr:row>37</xdr:row>
      <xdr:rowOff>83819</xdr:rowOff>
    </xdr:to>
    <mc:AlternateContent xmlns:mc="http://schemas.openxmlformats.org/markup-compatibility/2006">
      <mc:Choice xmlns:a14="http://schemas.microsoft.com/office/drawing/2010/main" Requires="a14">
        <xdr:graphicFrame macro="">
          <xdr:nvGraphicFramePr>
            <xdr:cNvPr id="91" name="Education Field 3">
              <a:extLst>
                <a:ext uri="{FF2B5EF4-FFF2-40B4-BE49-F238E27FC236}">
                  <a16:creationId xmlns:a16="http://schemas.microsoft.com/office/drawing/2014/main" id="{025E1CC9-85B1-4709-A08D-14A870FB37BC}"/>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0184287" y="5283792"/>
              <a:ext cx="1117112" cy="17519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259080</xdr:colOff>
      <xdr:row>26</xdr:row>
      <xdr:rowOff>152400</xdr:rowOff>
    </xdr:from>
    <xdr:to>
      <xdr:col>17</xdr:col>
      <xdr:colOff>30480</xdr:colOff>
      <xdr:row>28</xdr:row>
      <xdr:rowOff>129540</xdr:rowOff>
    </xdr:to>
    <xdr:sp macro="" textlink="">
      <xdr:nvSpPr>
        <xdr:cNvPr id="92" name="TextBox 91">
          <a:extLst>
            <a:ext uri="{FF2B5EF4-FFF2-40B4-BE49-F238E27FC236}">
              <a16:creationId xmlns:a16="http://schemas.microsoft.com/office/drawing/2014/main" id="{0A13F046-2D6D-F51C-1AA4-8C7516941923}"/>
            </a:ext>
          </a:extLst>
        </xdr:cNvPr>
        <xdr:cNvSpPr txBox="1"/>
      </xdr:nvSpPr>
      <xdr:spPr>
        <a:xfrm>
          <a:off x="10088880" y="5105400"/>
          <a:ext cx="10820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chemeClr val="accent1">
                  <a:lumMod val="50000"/>
                </a:schemeClr>
              </a:solidFill>
            </a:rPr>
            <a:t>Education Field</a:t>
          </a:r>
        </a:p>
      </xdr:txBody>
    </xdr:sp>
    <xdr:clientData/>
  </xdr:twoCellAnchor>
  <xdr:twoCellAnchor>
    <xdr:from>
      <xdr:col>17</xdr:col>
      <xdr:colOff>60960</xdr:colOff>
      <xdr:row>26</xdr:row>
      <xdr:rowOff>137160</xdr:rowOff>
    </xdr:from>
    <xdr:to>
      <xdr:col>18</xdr:col>
      <xdr:colOff>487680</xdr:colOff>
      <xdr:row>28</xdr:row>
      <xdr:rowOff>114300</xdr:rowOff>
    </xdr:to>
    <xdr:sp macro="" textlink="">
      <xdr:nvSpPr>
        <xdr:cNvPr id="93" name="TextBox 92">
          <a:extLst>
            <a:ext uri="{FF2B5EF4-FFF2-40B4-BE49-F238E27FC236}">
              <a16:creationId xmlns:a16="http://schemas.microsoft.com/office/drawing/2014/main" id="{4809C451-C12E-4252-88F1-C73DF870F875}"/>
            </a:ext>
          </a:extLst>
        </xdr:cNvPr>
        <xdr:cNvSpPr txBox="1"/>
      </xdr:nvSpPr>
      <xdr:spPr>
        <a:xfrm>
          <a:off x="11201400" y="5090160"/>
          <a:ext cx="10820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chemeClr val="accent1">
                  <a:lumMod val="50000"/>
                </a:schemeClr>
              </a:solidFill>
            </a:rPr>
            <a:t>Department</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0.24771</cdr:x>
      <cdr:y>0.3</cdr:y>
    </cdr:from>
    <cdr:to>
      <cdr:x>0.74312</cdr:x>
      <cdr:y>0.7</cdr:y>
    </cdr:to>
    <cdr:sp macro="" textlink="Rating!$B$7">
      <cdr:nvSpPr>
        <cdr:cNvPr id="2" name="TextBox 1">
          <a:extLst xmlns:a="http://schemas.openxmlformats.org/drawingml/2006/main">
            <a:ext uri="{FF2B5EF4-FFF2-40B4-BE49-F238E27FC236}">
              <a16:creationId xmlns:a16="http://schemas.microsoft.com/office/drawing/2014/main" id="{1AD45E0D-32A2-967C-1C18-BA2605A2FB31}"/>
            </a:ext>
          </a:extLst>
        </cdr:cNvPr>
        <cdr:cNvSpPr txBox="1"/>
      </cdr:nvSpPr>
      <cdr:spPr>
        <a:xfrm xmlns:a="http://schemas.openxmlformats.org/drawingml/2006/main">
          <a:off x="205740" y="205740"/>
          <a:ext cx="411480" cy="27432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D0C81F1C-4A8B-4E40-8FB3-85A10F32D7B0}" type="TxLink">
            <a:rPr lang="en-US" sz="1200" b="0" i="0" u="none" strike="noStrike" kern="1200">
              <a:solidFill>
                <a:srgbClr val="000000"/>
              </a:solidFill>
              <a:latin typeface="Calibri"/>
              <a:ea typeface="Calibri"/>
              <a:cs typeface="Calibri"/>
            </a:rPr>
            <a:t>2.6</a:t>
          </a:fld>
          <a:endParaRPr lang="en-AU" sz="1100" kern="1200"/>
        </a:p>
      </cdr:txBody>
    </cdr:sp>
  </cdr:relSizeAnchor>
</c:userShapes>
</file>

<file path=xl/drawings/drawing8.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639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lesh Rana" refreshedDate="45756.3946931713" createdVersion="8" refreshedVersion="8" minRefreshableVersion="3" recordCount="1470" xr:uid="{E453749C-3573-4F7B-B7EC-93B32FDB5FFC}">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64015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AF2C88-BE85-49A0-B6A1-96EDAB212BDA}" name="KPI" cacheId="2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4D6D6D-9F6B-4219-AF8D-6347BBB67205}" name="Rating" cacheId="2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4"/>
  </dataFields>
  <formats count="1">
    <format dxfId="1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DA0A00-7BD4-41C2-9CF3-5C2CDBA98D3D}" name="By Gender" cacheId="2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7525FB-0EFF-4DEA-91A6-985D9C16F21E}" name="PivotTable14" cacheId="24"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50:B60"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361AAD-4CAD-44D4-955A-9A1BEF44C12C}" name="PivotTable11" cacheId="2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42:B46" firstHeaderRow="1" firstDataRow="1" firstDataCol="1"/>
  <pivotFields count="44">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CFD704-CFC4-4AAF-8CF7-D7AE3DCF5B65}" name="PivotTable10" cacheId="2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28:B34"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85F31F-8E84-4A4D-BCDE-D58528E9F988}" name="PivotTable5" cacheId="24"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13:B1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FB31A1-D03F-4459-8D95-29CC831E8F17}" name="AttritionByCategories" cacheId="24"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FFC2D84-BFC2-42B3-9145-21E51ED77149}" sourceName="Gender">
  <pivotTables>
    <pivotTable tabId="9" name="By Gender"/>
    <pivotTable tabId="10" name="AttritionByCategories"/>
    <pivotTable tabId="10" name="PivotTable10"/>
    <pivotTable tabId="10" name="PivotTable11"/>
    <pivotTable tabId="10" name="PivotTable14"/>
    <pivotTable tabId="10" name="PivotTable5"/>
    <pivotTable tabId="7" name="KPI"/>
    <pivotTable tabId="8" name="Rating"/>
  </pivotTables>
  <data>
    <tabular pivotCacheId="5640157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B42C3884-A895-45A7-B5EF-3FF97BFB1E8F}" sourceName="Education Field">
  <pivotTables>
    <pivotTable tabId="10" name="PivotTable14"/>
    <pivotTable tabId="10" name="AttritionByCategories"/>
    <pivotTable tabId="10" name="PivotTable10"/>
    <pivotTable tabId="10" name="PivotTable11"/>
    <pivotTable tabId="10" name="PivotTable5"/>
    <pivotTable tabId="9" name="By Gender"/>
    <pivotTable tabId="7" name="KPI"/>
    <pivotTable tabId="8" name="Rating"/>
  </pivotTables>
  <data>
    <tabular pivotCacheId="564015763">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F04BF8D-3E65-42CF-AEC1-C03570FBC64B}" sourceName="Department">
  <pivotTables>
    <pivotTable tabId="10" name="PivotTable14"/>
    <pivotTable tabId="10" name="AttritionByCategories"/>
    <pivotTable tabId="10" name="PivotTable10"/>
    <pivotTable tabId="10" name="PivotTable11"/>
    <pivotTable tabId="10" name="PivotTable5"/>
    <pivotTable tabId="9" name="By Gender"/>
    <pivotTable tabId="7" name="KPI"/>
    <pivotTable tabId="8" name="Rating"/>
  </pivotTables>
  <data>
    <tabular pivotCacheId="5640157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1139C0-B0F0-4F7A-81DF-F48E46DA6C57}"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2818D7A-5D26-4DCC-B5B2-2FB7FED96FDB}" cache="Slicer_Gender2" caption="Gender" rowHeight="260350"/>
  <slicer name="Education Field" xr10:uid="{6534C166-BBD1-4C63-92B5-6CD4C3EF3BDA}"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B0CAA0F-C751-411D-8529-CE9961C3FAAE}" cache="Slicer_Gender2" caption="Gender" rowHeight="260350"/>
  <slicer name="Education Field 1" xr10:uid="{BCF1B99D-2C8C-4889-B394-66004F1AE11F}"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348C5511-E483-4EC4-88AD-38C556A1D710}" cache="Slicer_Education_Field2" caption="Education Field" rowHeight="260350"/>
  <slicer name="Department" xr10:uid="{29C8728C-CD9C-4F8C-8F5E-BF5F522292AE}" cache="Slicer_Department" caption="Department"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A6625DE-D44F-43DF-9A90-DDFF3B1D005A}" cache="Slicer_Gender2" caption="Gender" columnCount="2" rowHeight="260350"/>
  <slicer name="Education Field 3" xr10:uid="{D45BFC96-2438-4182-8B33-F37E307C6B48}" cache="Slicer_Education_Field2" style="mySlicer" rowHeight="260350"/>
  <slicer name="Department 1" xr10:uid="{FAE7DED0-9556-4912-8FD0-62F512730B6B}" cache="Slicer_Department" style="my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4.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BA466-9A81-4F18-AAE2-63CEF7269692}">
  <dimension ref="A3:E8"/>
  <sheetViews>
    <sheetView workbookViewId="0">
      <selection activeCell="E10" sqref="E10"/>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9.5" customWidth="1"/>
  </cols>
  <sheetData>
    <row r="3" spans="1:5" x14ac:dyDescent="0.3">
      <c r="A3" s="2" t="s">
        <v>1555</v>
      </c>
      <c r="B3" s="8" t="s">
        <v>1556</v>
      </c>
      <c r="C3" s="5" t="s">
        <v>1557</v>
      </c>
    </row>
    <row r="4" spans="1:5" x14ac:dyDescent="0.3">
      <c r="A4" s="6">
        <v>1470</v>
      </c>
      <c r="B4" s="9">
        <v>237</v>
      </c>
      <c r="C4" s="7">
        <v>36.923809523809524</v>
      </c>
    </row>
    <row r="7" spans="1:5" x14ac:dyDescent="0.3">
      <c r="A7" t="s">
        <v>1554</v>
      </c>
      <c r="B7" t="s">
        <v>1558</v>
      </c>
      <c r="C7" t="s">
        <v>1559</v>
      </c>
      <c r="D7" t="s">
        <v>1560</v>
      </c>
      <c r="E7" t="s">
        <v>1561</v>
      </c>
    </row>
    <row r="8" spans="1:5" x14ac:dyDescent="0.3">
      <c r="A8">
        <f>GETPIVOTDATA("Count of Employee Number",$A$3)</f>
        <v>1470</v>
      </c>
      <c r="B8">
        <f>GETPIVOTDATA("Sum of CF_attrition count",$A$3)</f>
        <v>237</v>
      </c>
      <c r="C8" s="11">
        <f>GETPIVOTDATA("Average of Age",$A$3)</f>
        <v>36.923809523809524</v>
      </c>
      <c r="D8">
        <f>A8-B8</f>
        <v>1233</v>
      </c>
      <c r="E8" s="10">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0E04A-7DB1-46EB-AD64-3AEF7F2C3977}">
  <dimension ref="A3:C16"/>
  <sheetViews>
    <sheetView workbookViewId="0">
      <selection activeCell="A3" sqref="A3"/>
    </sheetView>
  </sheetViews>
  <sheetFormatPr defaultRowHeight="15.6" x14ac:dyDescent="0.3"/>
  <cols>
    <col min="1" max="1" width="23.59765625" bestFit="1" customWidth="1"/>
  </cols>
  <sheetData>
    <row r="3" spans="1:3" x14ac:dyDescent="0.3">
      <c r="A3" s="3" t="s">
        <v>1562</v>
      </c>
    </row>
    <row r="4" spans="1:3" x14ac:dyDescent="0.3">
      <c r="A4" s="12">
        <v>2.6265306122448981</v>
      </c>
    </row>
    <row r="7" spans="1:3" x14ac:dyDescent="0.3">
      <c r="A7" s="13" t="s">
        <v>1563</v>
      </c>
      <c r="B7" s="14">
        <f>GETPIVOTDATA("Job Satisfaction",$A$3)</f>
        <v>2.6265306122448981</v>
      </c>
      <c r="C7">
        <f>B7/4</f>
        <v>0.65663265306122454</v>
      </c>
    </row>
    <row r="8" spans="1:3" x14ac:dyDescent="0.3">
      <c r="A8" s="13" t="s">
        <v>1564</v>
      </c>
      <c r="B8" s="14">
        <f>4-B7</f>
        <v>1.3734693877551019</v>
      </c>
      <c r="C8">
        <f>B8/4</f>
        <v>0.34336734693877546</v>
      </c>
    </row>
    <row r="15" spans="1:3" x14ac:dyDescent="0.3">
      <c r="A15" s="3"/>
    </row>
    <row r="16" spans="1:3" x14ac:dyDescent="0.3">
      <c r="A16" s="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5188-66B9-4D93-98D4-B33585104905}">
  <dimension ref="A3:C13"/>
  <sheetViews>
    <sheetView workbookViewId="0">
      <selection activeCell="C11" sqref="C11:C12"/>
    </sheetView>
  </sheetViews>
  <sheetFormatPr defaultRowHeight="15.6" x14ac:dyDescent="0.3"/>
  <cols>
    <col min="1" max="1" width="12.19921875" bestFit="1" customWidth="1"/>
    <col min="2" max="2" width="22.796875" bestFit="1" customWidth="1"/>
  </cols>
  <sheetData>
    <row r="3" spans="1:3" x14ac:dyDescent="0.3">
      <c r="A3" s="15" t="s">
        <v>1565</v>
      </c>
      <c r="B3" s="3" t="s">
        <v>1567</v>
      </c>
    </row>
    <row r="4" spans="1:3" x14ac:dyDescent="0.3">
      <c r="A4" s="16" t="s">
        <v>51</v>
      </c>
      <c r="B4" s="17">
        <v>588</v>
      </c>
    </row>
    <row r="5" spans="1:3" x14ac:dyDescent="0.3">
      <c r="A5" s="18" t="s">
        <v>62</v>
      </c>
      <c r="B5" s="19">
        <v>882</v>
      </c>
    </row>
    <row r="6" spans="1:3" x14ac:dyDescent="0.3">
      <c r="A6" s="20" t="s">
        <v>1566</v>
      </c>
      <c r="B6" s="4">
        <v>1470</v>
      </c>
    </row>
    <row r="11" spans="1:3" x14ac:dyDescent="0.3">
      <c r="A11" s="13" t="s">
        <v>51</v>
      </c>
      <c r="B11">
        <f>IFERROR(GETPIVOTDATA("Employee Count",$A$3,"Gender","Female"),0)</f>
        <v>588</v>
      </c>
      <c r="C11" s="21">
        <f>IFERROR(B11/B13,0)</f>
        <v>0.4</v>
      </c>
    </row>
    <row r="12" spans="1:3" x14ac:dyDescent="0.3">
      <c r="A12" s="13" t="s">
        <v>62</v>
      </c>
      <c r="B12">
        <f>IFERROR(GETPIVOTDATA("Employee Count",$A$3,"Gender","Male"),0)</f>
        <v>882</v>
      </c>
      <c r="C12" s="22">
        <f>IFERROR(B12/B13,0)</f>
        <v>0.6</v>
      </c>
    </row>
    <row r="13" spans="1:3" x14ac:dyDescent="0.3">
      <c r="A13" s="13" t="s">
        <v>1568</v>
      </c>
      <c r="B13">
        <f>GETPIVOTDATA("Employee Count",$A$3)</f>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04DD1-BBDE-467E-91DA-79BB68727DFD}">
  <dimension ref="A3:E60"/>
  <sheetViews>
    <sheetView topLeftCell="A46" workbookViewId="0">
      <selection activeCell="A50" sqref="A50"/>
    </sheetView>
  </sheetViews>
  <sheetFormatPr defaultRowHeight="15.6" x14ac:dyDescent="0.3"/>
  <cols>
    <col min="1" max="1" width="12.19921875" bestFit="1" customWidth="1"/>
    <col min="2" max="2" width="22.796875" bestFit="1" customWidth="1"/>
    <col min="4" max="4" width="27.69921875" customWidth="1"/>
    <col min="5" max="5" width="12.59765625" customWidth="1"/>
  </cols>
  <sheetData>
    <row r="3" spans="1:4" x14ac:dyDescent="0.3">
      <c r="A3" s="15" t="s">
        <v>1565</v>
      </c>
      <c r="B3" s="3" t="s">
        <v>1556</v>
      </c>
    </row>
    <row r="4" spans="1:4" x14ac:dyDescent="0.3">
      <c r="A4" s="16" t="s">
        <v>134</v>
      </c>
      <c r="B4" s="17">
        <v>5</v>
      </c>
    </row>
    <row r="5" spans="1:4" x14ac:dyDescent="0.3">
      <c r="A5" s="18" t="s">
        <v>65</v>
      </c>
      <c r="B5" s="19">
        <v>31</v>
      </c>
    </row>
    <row r="6" spans="1:4" x14ac:dyDescent="0.3">
      <c r="A6" s="18" t="s">
        <v>55</v>
      </c>
      <c r="B6" s="19">
        <v>44</v>
      </c>
    </row>
    <row r="7" spans="1:4" x14ac:dyDescent="0.3">
      <c r="A7" s="18" t="s">
        <v>71</v>
      </c>
      <c r="B7" s="19">
        <v>58</v>
      </c>
    </row>
    <row r="8" spans="1:4" x14ac:dyDescent="0.3">
      <c r="A8" s="18" t="s">
        <v>77</v>
      </c>
      <c r="B8" s="19">
        <v>99</v>
      </c>
    </row>
    <row r="9" spans="1:4" x14ac:dyDescent="0.3">
      <c r="A9" s="20" t="s">
        <v>1566</v>
      </c>
      <c r="B9" s="4">
        <v>237</v>
      </c>
    </row>
    <row r="13" spans="1:4" x14ac:dyDescent="0.3">
      <c r="A13" s="15" t="s">
        <v>1565</v>
      </c>
      <c r="B13" s="3" t="s">
        <v>1556</v>
      </c>
    </row>
    <row r="14" spans="1:4" x14ac:dyDescent="0.3">
      <c r="A14" s="16" t="s">
        <v>161</v>
      </c>
      <c r="B14" s="17">
        <v>12</v>
      </c>
      <c r="C14" s="13" t="s">
        <v>161</v>
      </c>
      <c r="D14" s="23">
        <f>GETPIVOTDATA("CF_attrition count",$A$13,"Department","HR")/GETPIVOTDATA("CF_attrition count",$A$13)</f>
        <v>5.0632911392405063E-2</v>
      </c>
    </row>
    <row r="15" spans="1:4" x14ac:dyDescent="0.3">
      <c r="A15" s="18" t="s">
        <v>60</v>
      </c>
      <c r="B15" s="19">
        <v>133</v>
      </c>
      <c r="C15" s="13" t="s">
        <v>60</v>
      </c>
      <c r="D15" s="23">
        <f>GETPIVOTDATA("CF_attrition count",$A$13,"Department","R&amp;D")/GETPIVOTDATA("CF_attrition count",$A$13)</f>
        <v>0.56118143459915615</v>
      </c>
    </row>
    <row r="16" spans="1:4" x14ac:dyDescent="0.3">
      <c r="A16" s="18" t="s">
        <v>48</v>
      </c>
      <c r="B16" s="19">
        <v>92</v>
      </c>
      <c r="C16" s="13" t="s">
        <v>48</v>
      </c>
      <c r="D16" s="23">
        <f>GETPIVOTDATA("CF_attrition count",$A$13,"Department","Sales")/GETPIVOTDATA("CF_attrition count",$A$13)</f>
        <v>0.3881856540084388</v>
      </c>
    </row>
    <row r="17" spans="1:3" x14ac:dyDescent="0.3">
      <c r="A17" s="20" t="s">
        <v>1566</v>
      </c>
      <c r="B17" s="4">
        <v>237</v>
      </c>
      <c r="C17" s="13"/>
    </row>
    <row r="28" spans="1:3" x14ac:dyDescent="0.3">
      <c r="A28" s="15" t="s">
        <v>1565</v>
      </c>
      <c r="B28" s="3" t="s">
        <v>1556</v>
      </c>
    </row>
    <row r="29" spans="1:3" x14ac:dyDescent="0.3">
      <c r="A29" s="16" t="s">
        <v>69</v>
      </c>
      <c r="B29" s="17">
        <v>112</v>
      </c>
    </row>
    <row r="30" spans="1:3" x14ac:dyDescent="0.3">
      <c r="A30" s="18" t="s">
        <v>46</v>
      </c>
      <c r="B30" s="19">
        <v>51</v>
      </c>
    </row>
    <row r="31" spans="1:3" x14ac:dyDescent="0.3">
      <c r="A31" s="18" t="s">
        <v>58</v>
      </c>
      <c r="B31" s="19">
        <v>25</v>
      </c>
    </row>
    <row r="32" spans="1:3" x14ac:dyDescent="0.3">
      <c r="A32" s="18" t="s">
        <v>75</v>
      </c>
      <c r="B32" s="19">
        <v>11</v>
      </c>
    </row>
    <row r="33" spans="1:5" x14ac:dyDescent="0.3">
      <c r="A33" s="18" t="s">
        <v>92</v>
      </c>
      <c r="B33" s="19">
        <v>38</v>
      </c>
    </row>
    <row r="34" spans="1:5" x14ac:dyDescent="0.3">
      <c r="A34" s="20" t="s">
        <v>1566</v>
      </c>
      <c r="B34" s="4">
        <v>237</v>
      </c>
    </row>
    <row r="42" spans="1:5" x14ac:dyDescent="0.3">
      <c r="A42" s="15" t="s">
        <v>1565</v>
      </c>
      <c r="B42" s="3" t="s">
        <v>1556</v>
      </c>
      <c r="D42" s="13" t="s">
        <v>1569</v>
      </c>
      <c r="E42" s="24" t="s">
        <v>0</v>
      </c>
    </row>
    <row r="43" spans="1:5" x14ac:dyDescent="0.3">
      <c r="A43" s="16" t="s">
        <v>79</v>
      </c>
      <c r="B43" s="17">
        <v>33</v>
      </c>
      <c r="D43" t="str">
        <f>A43</f>
        <v>Divorced</v>
      </c>
      <c r="E43">
        <f>GETPIVOTDATA("CF_attrition count",$A$42,"Marital Status","Divorced")</f>
        <v>33</v>
      </c>
    </row>
    <row r="44" spans="1:5" x14ac:dyDescent="0.3">
      <c r="A44" s="18" t="s">
        <v>64</v>
      </c>
      <c r="B44" s="19">
        <v>84</v>
      </c>
      <c r="D44" t="str">
        <f>A44</f>
        <v>Married</v>
      </c>
      <c r="E44">
        <f>GETPIVOTDATA("CF_attrition count",$A$42,"Marital Status","Married")</f>
        <v>84</v>
      </c>
    </row>
    <row r="45" spans="1:5" x14ac:dyDescent="0.3">
      <c r="A45" s="18" t="s">
        <v>53</v>
      </c>
      <c r="B45" s="19">
        <v>120</v>
      </c>
      <c r="D45" t="str">
        <f>A45</f>
        <v>Single</v>
      </c>
      <c r="E45">
        <f>GETPIVOTDATA("CF_attrition count",$A$42,"Marital Status","Single")</f>
        <v>120</v>
      </c>
    </row>
    <row r="46" spans="1:5" x14ac:dyDescent="0.3">
      <c r="A46" s="20" t="s">
        <v>1566</v>
      </c>
      <c r="B46" s="4">
        <v>237</v>
      </c>
    </row>
    <row r="50" spans="1:5" x14ac:dyDescent="0.3">
      <c r="A50" s="15" t="s">
        <v>1565</v>
      </c>
      <c r="B50" s="3" t="s">
        <v>1556</v>
      </c>
      <c r="D50" s="13" t="s">
        <v>1565</v>
      </c>
      <c r="E50" s="24" t="s">
        <v>1558</v>
      </c>
    </row>
    <row r="51" spans="1:5" x14ac:dyDescent="0.3">
      <c r="A51" s="16" t="s">
        <v>83</v>
      </c>
      <c r="B51" s="17">
        <v>9</v>
      </c>
      <c r="D51" t="str">
        <f>A51</f>
        <v>Healthcare Representative</v>
      </c>
      <c r="E51">
        <f>GETPIVOTDATA("CF_attrition count",$A$50,"Job Role",A51)</f>
        <v>9</v>
      </c>
    </row>
    <row r="52" spans="1:5" x14ac:dyDescent="0.3">
      <c r="A52" s="18" t="s">
        <v>163</v>
      </c>
      <c r="B52" s="19">
        <v>12</v>
      </c>
      <c r="D52" t="str">
        <f t="shared" ref="D52:D59" si="0">A52</f>
        <v>Human Resources</v>
      </c>
      <c r="E52">
        <f t="shared" ref="E52:E59" si="1">GETPIVOTDATA("CF_attrition count",$A$50,"Job Role",A52)</f>
        <v>12</v>
      </c>
    </row>
    <row r="53" spans="1:5" x14ac:dyDescent="0.3">
      <c r="A53" s="18" t="s">
        <v>68</v>
      </c>
      <c r="B53" s="19">
        <v>62</v>
      </c>
      <c r="D53" t="str">
        <f t="shared" si="0"/>
        <v>Laboratory Technician</v>
      </c>
      <c r="E53">
        <f t="shared" si="1"/>
        <v>62</v>
      </c>
    </row>
    <row r="54" spans="1:5" x14ac:dyDescent="0.3">
      <c r="A54" s="18" t="s">
        <v>95</v>
      </c>
      <c r="B54" s="19">
        <v>5</v>
      </c>
      <c r="D54" t="str">
        <f t="shared" si="0"/>
        <v>Manager</v>
      </c>
      <c r="E54">
        <f t="shared" si="1"/>
        <v>5</v>
      </c>
    </row>
    <row r="55" spans="1:5" x14ac:dyDescent="0.3">
      <c r="A55" s="18" t="s">
        <v>81</v>
      </c>
      <c r="B55" s="19">
        <v>10</v>
      </c>
      <c r="D55" t="str">
        <f t="shared" si="0"/>
        <v>Manufacturing Director</v>
      </c>
      <c r="E55">
        <f t="shared" si="1"/>
        <v>10</v>
      </c>
    </row>
    <row r="56" spans="1:5" x14ac:dyDescent="0.3">
      <c r="A56" s="18" t="s">
        <v>101</v>
      </c>
      <c r="B56" s="19">
        <v>2</v>
      </c>
      <c r="D56" t="str">
        <f t="shared" si="0"/>
        <v>Research Director</v>
      </c>
      <c r="E56">
        <f t="shared" si="1"/>
        <v>2</v>
      </c>
    </row>
    <row r="57" spans="1:5" x14ac:dyDescent="0.3">
      <c r="A57" s="18" t="s">
        <v>63</v>
      </c>
      <c r="B57" s="19">
        <v>47</v>
      </c>
      <c r="D57" t="str">
        <f t="shared" si="0"/>
        <v>Research Scientist</v>
      </c>
      <c r="E57">
        <f t="shared" si="1"/>
        <v>47</v>
      </c>
    </row>
    <row r="58" spans="1:5" x14ac:dyDescent="0.3">
      <c r="A58" s="18" t="s">
        <v>52</v>
      </c>
      <c r="B58" s="19">
        <v>57</v>
      </c>
      <c r="D58" t="str">
        <f t="shared" si="0"/>
        <v>Sales Executive</v>
      </c>
      <c r="E58">
        <f t="shared" si="1"/>
        <v>57</v>
      </c>
    </row>
    <row r="59" spans="1:5" x14ac:dyDescent="0.3">
      <c r="A59" s="18" t="s">
        <v>99</v>
      </c>
      <c r="B59" s="19">
        <v>33</v>
      </c>
      <c r="D59" t="str">
        <f t="shared" si="0"/>
        <v>Sales Representative</v>
      </c>
      <c r="E59">
        <f t="shared" si="1"/>
        <v>33</v>
      </c>
    </row>
    <row r="60" spans="1:5" x14ac:dyDescent="0.3">
      <c r="A60" s="20" t="s">
        <v>1566</v>
      </c>
      <c r="B60" s="4">
        <v>237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8" sqref="C8"/>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I4" sqref="I4"/>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abSelected="1" zoomScale="73" zoomScaleNormal="73" workbookViewId="0">
      <selection activeCell="U21" sqref="U21"/>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ByGender</vt:lpstr>
      <vt:lpstr>AttritionByCategories</vt:lpstr>
      <vt:lpstr>Data</vt:lpstr>
      <vt:lpstr>Images</vt:lpstr>
      <vt:lpstr>Background 3</vt:lpstr>
      <vt:lpstr>Background 1</vt:lpstr>
      <vt:lpstr>Background 2</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Sailesh Rana</cp:lastModifiedBy>
  <dcterms:created xsi:type="dcterms:W3CDTF">2022-12-29T16:02:46Z</dcterms:created>
  <dcterms:modified xsi:type="dcterms:W3CDTF">2025-04-09T03:03:08Z</dcterms:modified>
</cp:coreProperties>
</file>